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coainc-my.sharepoint.com/personal/thayana_santos_alcoa_com/Documents/Desktop/"/>
    </mc:Choice>
  </mc:AlternateContent>
  <xr:revisionPtr revIDLastSave="364" documentId="8_{0DEC4119-7E41-41F8-9FF9-316E40CE6593}" xr6:coauthVersionLast="47" xr6:coauthVersionMax="47" xr10:uidLastSave="{DD8E34D7-50B9-44C9-8CFD-FE8CCD17FEB2}"/>
  <bookViews>
    <workbookView xWindow="-120" yWindow="-120" windowWidth="29040" windowHeight="15720" firstSheet="3" activeTab="4" xr2:uid="{28DD5B76-0634-4F87-BE60-8BFA7EF2E23B}"/>
    <workbookView xWindow="-120" yWindow="-120" windowWidth="29040" windowHeight="15720" firstSheet="3" activeTab="3" xr2:uid="{9176D01E-9036-4599-94C2-B25B269D9BA7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Dashboard_Vendas" sheetId="5" r:id="rId5"/>
  </sheets>
  <definedNames>
    <definedName name="_xlnm.Print_Area" localSheetId="3">D̳ashboard!$Q$36</definedName>
    <definedName name="_xlnm.Print_Area" localSheetId="4">Dashboard_Vendas!$U$22</definedName>
    <definedName name="SegmentaçãodeDados_Auto_Renewal">#N/A</definedName>
    <definedName name="SegmentaçãodeDados_Subscription_Type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3" l="1"/>
  <c r="G41" i="3"/>
  <c r="F34" i="3"/>
  <c r="F21" i="3"/>
</calcChain>
</file>

<file path=xl/sharedStrings.xml><?xml version="1.0" encoding="utf-8"?>
<sst xmlns="http://schemas.openxmlformats.org/spreadsheetml/2006/main" count="2047" uniqueCount="339">
  <si>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</si>
  <si>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</si>
  <si>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</si>
  <si>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</si>
  <si>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</si>
  <si>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</si>
  <si>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</si>
  <si>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</si>
  <si>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</si>
  <si>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</si>
  <si>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</si>
  <si>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</si>
  <si>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</si>
  <si>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</si>
  <si>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</si>
  <si>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</si>
  <si>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</si>
  <si>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</si>
  <si>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</si>
  <si>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</si>
  <si>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</si>
  <si>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</si>
  <si>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</si>
  <si>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</si>
  <si>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</si>
  <si>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</si>
  <si>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</si>
  <si>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</si>
  <si>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</si>
  <si>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</si>
  <si>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</si>
  <si>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</si>
  <si>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</si>
  <si>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</si>
  <si>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</si>
  <si>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</si>
  <si>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</si>
  <si>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</si>
  <si>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</si>
  <si>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</si>
  <si>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</si>
  <si>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</si>
  <si>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</si>
  <si>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</si>
  <si>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</si>
  <si>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</si>
  <si>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</si>
  <si>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</si>
  <si>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</si>
  <si>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</si>
  <si>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</si>
  <si>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</si>
  <si>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</si>
  <si>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</si>
  <si>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</si>
  <si>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</si>
  <si>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</si>
  <si>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</si>
  <si>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</si>
  <si>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</si>
  <si>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</si>
  <si>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</si>
  <si>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</si>
  <si>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</si>
  <si>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</si>
  <si>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</si>
  <si>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</si>
  <si>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</si>
  <si>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</si>
  <si>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</si>
  <si>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</si>
  <si>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</si>
  <si>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</si>
  <si>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</si>
  <si>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</si>
  <si>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</si>
  <si>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</si>
  <si>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</si>
  <si>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</si>
  <si>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</si>
  <si>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</si>
  <si>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</si>
  <si>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</si>
  <si>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</si>
  <si>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</si>
  <si>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</si>
  <si>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</si>
  <si>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</si>
  <si>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</si>
  <si>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</si>
  <si>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</si>
  <si>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</si>
  <si>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</si>
  <si>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</si>
  <si>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</si>
  <si>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</si>
  <si>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</si>
  <si>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</si>
  <si>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</si>
  <si>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</si>
  <si>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</si>
  <si>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</si>
  <si>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</si>
  <si>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</si>
  <si>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</si>
  <si>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</si>
  <si>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</si>
  <si>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</si>
  <si>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</si>
  <si>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</si>
  <si>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</si>
  <si>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</si>
  <si>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</si>
  <si>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</si>
  <si>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</si>
  <si>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</si>
  <si>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</si>
  <si>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</si>
  <si>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</si>
  <si>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</si>
  <si>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</si>
  <si>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</si>
  <si>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</si>
  <si>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</si>
  <si>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</si>
  <si>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</si>
  <si>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</si>
  <si>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</si>
  <si>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</si>
  <si>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</si>
  <si>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</si>
  <si>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</si>
  <si>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</si>
  <si>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</si>
  <si>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</si>
  <si>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</si>
  <si>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</si>
  <si>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</si>
  <si>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</si>
  <si>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</si>
  <si>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</si>
  <si>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</si>
  <si>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</si>
  <si>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</si>
  <si>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</si>
  <si>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</si>
  <si>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</si>
  <si>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</si>
  <si>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</si>
  <si>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</si>
  <si>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</si>
  <si>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</si>
  <si>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</si>
  <si>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</si>
  <si>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</si>
  <si>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</si>
  <si>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</si>
  <si>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</si>
  <si>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</si>
  <si>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</si>
  <si>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</si>
  <si>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</si>
  <si>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</si>
  <si>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</si>
  <si>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</si>
  <si>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</si>
  <si>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</si>
  <si>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</si>
  <si>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</si>
  <si>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</si>
  <si>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</si>
  <si>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</si>
  <si>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</si>
  <si>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</si>
  <si>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</si>
  <si>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</si>
  <si>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</si>
  <si>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</si>
  <si>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</si>
  <si>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</si>
  <si>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</si>
  <si>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</si>
  <si>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</si>
  <si>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</si>
  <si>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</si>
  <si>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</si>
  <si>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</si>
  <si>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</si>
  <si>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</si>
  <si>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</si>
  <si>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</si>
  <si>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</si>
  <si>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</si>
  <si>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</si>
  <si>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</si>
  <si>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</si>
  <si>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</si>
  <si>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</si>
  <si>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</si>
  <si>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</si>
  <si>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</si>
  <si>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</si>
  <si>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</si>
  <si>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</si>
  <si>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</si>
  <si>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</si>
  <si>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</si>
  <si>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</si>
  <si>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</si>
  <si>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</si>
  <si>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</si>
  <si>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</si>
  <si>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</si>
  <si>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</si>
  <si>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</si>
  <si>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</si>
  <si>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</si>
  <si>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</si>
  <si>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</si>
  <si>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</si>
  <si>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</si>
  <si>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</si>
  <si>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</si>
  <si>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</si>
  <si>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</si>
  <si>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</si>
  <si>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</si>
  <si>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</si>
  <si>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</si>
  <si>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</si>
  <si>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</si>
  <si>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</si>
  <si>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</si>
  <si>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</si>
  <si>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</si>
  <si>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</si>
  <si>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</si>
  <si>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</si>
  <si>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</si>
  <si>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</si>
  <si>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</si>
  <si>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</si>
  <si>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</si>
  <si>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</si>
  <si>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</si>
  <si>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</si>
  <si>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</si>
  <si>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</si>
  <si>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</si>
  <si>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</si>
  <si>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</si>
  <si>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</si>
  <si>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</si>
  <si>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</si>
  <si>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</si>
  <si>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</si>
  <si>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</si>
  <si>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</si>
  <si>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</si>
  <si>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</si>
  <si>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</si>
  <si>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</si>
  <si>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</si>
  <si>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</si>
  <si>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</si>
  <si>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</si>
  <si>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</si>
  <si>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</si>
  <si>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</si>
  <si>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</si>
  <si>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</si>
  <si>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</si>
  <si>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</si>
  <si>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</si>
  <si>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</si>
  <si>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</si>
  <si>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</si>
  <si>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</si>
  <si>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</si>
  <si>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</si>
  <si>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</si>
  <si>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</si>
  <si>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</si>
  <si>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</si>
  <si>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</si>
  <si>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</si>
  <si>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</si>
  <si>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</si>
  <si>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</si>
  <si>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</si>
  <si>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</si>
  <si>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</si>
  <si>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</si>
  <si>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</si>
  <si>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</si>
  <si>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</si>
  <si>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</si>
  <si>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</si>
  <si>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</si>
  <si>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</si>
  <si>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</si>
  <si>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</si>
  <si>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</si>
  <si>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</si>
  <si>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</si>
  <si>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</si>
  <si>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</si>
  <si>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</si>
  <si>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</si>
  <si>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</si>
  <si>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</si>
  <si>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</si>
  <si>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Tabela 1</t>
  </si>
  <si>
    <t>Pergunta de negocio respondida atraves da analise de dados.</t>
  </si>
  <si>
    <t>1 - Qual faturamento anual total de vendas?</t>
  </si>
  <si>
    <t>Rótulos de Linha</t>
  </si>
  <si>
    <t>Total Geral</t>
  </si>
  <si>
    <t>Soma de Total Value</t>
  </si>
  <si>
    <t>2 - Qual faturamento total de vendas anuais , separados por auto-renovaçãoe por não auto -renovação?</t>
  </si>
  <si>
    <t>XBOX GAME PASS SUBSCRIPTION SALES</t>
  </si>
  <si>
    <t>3 - Total de vendas de assisnaturas da EA Play?</t>
  </si>
  <si>
    <t>Soma de EA Play Season Pass</t>
  </si>
  <si>
    <t>4 - Total de assinaturas do Minecraft?</t>
  </si>
  <si>
    <t>Soma de Minecraft Season Pass Price</t>
  </si>
  <si>
    <t xml:space="preserve">5 - Qual modalidade de vendas é mais lucrativa, auto renovavel ou não? </t>
  </si>
  <si>
    <t>(Tudo)</t>
  </si>
  <si>
    <t>6 - Qual mês mais rentável ?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</si>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</sst>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00B05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2" xfId="1" applyFill="1" applyBorder="1"/>
    <xf numFmtId="164" fontId="0" fillId="0" borderId="0" xfId="0" applyNumberFormat="1"/>
    <xf numFmtId="44" fontId="0" fillId="0" borderId="0" xfId="2" applyFont="1"/>
    <xf numFmtId="0" fontId="0" fillId="0" borderId="0" xfId="0" applyAlignment="1">
      <alignment horizontal="left" indent="2"/>
    </xf>
    <xf numFmtId="0" fontId="4" fillId="0" borderId="2" xfId="1" applyFont="1" applyFill="1" applyBorder="1" applyAlignment="1">
      <alignment horizontal="left" indent="8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052C6443-4415-43DD-AED9-5E3B55301B32}">
      <tableStyleElement type="wholeTable" dxfId="18"/>
      <tableStyleElement type="headerRow" dxfId="17"/>
    </tableStyle>
    <tableStyle name="SlicerStyleLight6 2 2" pivot="0" table="0" count="10" xr9:uid="{147F78C8-1A34-4A5C-A9AF-88EE50FD3854}">
      <tableStyleElement type="wholeTable" dxfId="16"/>
      <tableStyleElement type="headerRow" dxfId="15"/>
    </tableStyle>
  </tableStyles>
  <colors>
    <mruColors>
      <color rgb="FFE70011"/>
      <color rgb="FF22C55E"/>
      <color rgb="FF2AE6B1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games.xlsx]C̳álculos!Total_valor</c:name>
    <c:fmtId val="7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16050722194868E-2"/>
          <c:y val="0.22326003088677959"/>
          <c:w val="0.96808398845058719"/>
          <c:h val="0.716969759062271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6-466A-8FBE-6C37D1C9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806128"/>
        <c:axId val="744832048"/>
      </c:barChart>
      <c:catAx>
        <c:axId val="7448061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4832048"/>
        <c:crosses val="autoZero"/>
        <c:auto val="1"/>
        <c:lblAlgn val="ctr"/>
        <c:lblOffset val="100"/>
        <c:noMultiLvlLbl val="0"/>
      </c:catAx>
      <c:valAx>
        <c:axId val="7448320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74480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games.xlsx]C̳álculos!Tabela dinâmica1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7001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16469816272969"/>
          <c:y val="0.23406969962088073"/>
          <c:w val="0.44872419072615921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C̳álculos!$C$41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solidFill>
              <a:srgbClr val="E7001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C̳álculos!$C$42</c:f>
              <c:numCache>
                <c:formatCode>_("R$"* #,##0.00_);_("R$"* \(#,##0.00\);_("R$"* "-"??_);_(@_)</c:formatCode>
                <c:ptCount val="1"/>
                <c:pt idx="0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E-4EAB-B810-3D98CFC75EB9}"/>
            </c:ext>
          </c:extLst>
        </c:ser>
        <c:ser>
          <c:idx val="1"/>
          <c:order val="1"/>
          <c:tx>
            <c:strRef>
              <c:f>C̳álculos!$D$41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rgbClr val="22C55E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C̳álculos!$D$42</c:f>
              <c:numCache>
                <c:formatCode>_("R$"* #,##0.00_);_("R$"* \(#,##0.00\);_("R$"* "-"??_);_(@_)</c:formatCode>
                <c:ptCount val="1"/>
                <c:pt idx="0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AE-4EAB-B810-3D98CFC75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02072304"/>
        <c:axId val="259466720"/>
      </c:barChart>
      <c:catAx>
        <c:axId val="150207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9466720"/>
        <c:crosses val="autoZero"/>
        <c:auto val="1"/>
        <c:lblAlgn val="ctr"/>
        <c:lblOffset val="100"/>
        <c:noMultiLvlLbl val="0"/>
      </c:catAx>
      <c:valAx>
        <c:axId val="25946672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50207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svg"/><Relationship Id="rId7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chart" Target="../charts/chart2.xml"/><Relationship Id="rId5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1409700</xdr:colOff>
      <xdr:row>0</xdr:row>
      <xdr:rowOff>9525</xdr:rowOff>
    </xdr:from>
    <xdr:to>
      <xdr:col>2</xdr:col>
      <xdr:colOff>447675</xdr:colOff>
      <xdr:row>3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C918EA-A045-4F61-B358-804CF9A92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-1" r="72314" b="23535"/>
        <a:stretch/>
      </xdr:blipFill>
      <xdr:spPr>
        <a:xfrm>
          <a:off x="1409700" y="9525"/>
          <a:ext cx="981075" cy="923925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13</xdr:row>
      <xdr:rowOff>85725</xdr:rowOff>
    </xdr:from>
    <xdr:to>
      <xdr:col>19</xdr:col>
      <xdr:colOff>0</xdr:colOff>
      <xdr:row>33</xdr:row>
      <xdr:rowOff>66675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F652EFDD-BCAB-2F5F-A6A5-3E2FF5E9153B}"/>
            </a:ext>
          </a:extLst>
        </xdr:cNvPr>
        <xdr:cNvGrpSpPr/>
      </xdr:nvGrpSpPr>
      <xdr:grpSpPr>
        <a:xfrm>
          <a:off x="1809750" y="3057525"/>
          <a:ext cx="10029825" cy="3790950"/>
          <a:chOff x="1838325" y="1285875"/>
          <a:chExt cx="4752975" cy="31242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01B37EFE-D68C-299D-F2D3-8346FF4E72AE}"/>
              </a:ext>
            </a:extLst>
          </xdr:cNvPr>
          <xdr:cNvSpPr/>
        </xdr:nvSpPr>
        <xdr:spPr>
          <a:xfrm>
            <a:off x="1838325" y="1314450"/>
            <a:ext cx="4752975" cy="3095625"/>
          </a:xfrm>
          <a:prstGeom prst="roundRect">
            <a:avLst>
              <a:gd name="adj" fmla="val 8975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E527695-E265-4EC5-9D8B-7676689DAB11}"/>
              </a:ext>
            </a:extLst>
          </xdr:cNvPr>
          <xdr:cNvGraphicFramePr>
            <a:graphicFrameLocks/>
          </xdr:cNvGraphicFramePr>
        </xdr:nvGraphicFramePr>
        <xdr:xfrm>
          <a:off x="1967385" y="1285875"/>
          <a:ext cx="4561610" cy="30879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5</xdr:row>
      <xdr:rowOff>15241</xdr:rowOff>
    </xdr:from>
    <xdr:to>
      <xdr:col>1</xdr:col>
      <xdr:colOff>0</xdr:colOff>
      <xdr:row>12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4F77BB9-2FC9-4BB8-BA46-5EEC4AD08A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95401"/>
              <a:ext cx="1657350" cy="1478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161924</xdr:colOff>
      <xdr:row>4</xdr:row>
      <xdr:rowOff>123825</xdr:rowOff>
    </xdr:from>
    <xdr:to>
      <xdr:col>9</xdr:col>
      <xdr:colOff>361950</xdr:colOff>
      <xdr:row>12</xdr:row>
      <xdr:rowOff>19050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27534C36-D936-2060-86C9-B71EEEC0692D}"/>
            </a:ext>
          </a:extLst>
        </xdr:cNvPr>
        <xdr:cNvGrpSpPr/>
      </xdr:nvGrpSpPr>
      <xdr:grpSpPr>
        <a:xfrm>
          <a:off x="1809749" y="1276350"/>
          <a:ext cx="4705351" cy="1524000"/>
          <a:chOff x="1819274" y="1190625"/>
          <a:chExt cx="4714876" cy="1476375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B92371C1-B34D-660A-1EB9-89CE9660FCDE}"/>
              </a:ext>
            </a:extLst>
          </xdr:cNvPr>
          <xdr:cNvSpPr/>
        </xdr:nvSpPr>
        <xdr:spPr>
          <a:xfrm>
            <a:off x="1819275" y="1190625"/>
            <a:ext cx="4714875" cy="147637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1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A58943BD-D49E-42E4-AC58-1A9A1AD15C80}"/>
              </a:ext>
            </a:extLst>
          </xdr:cNvPr>
          <xdr:cNvSpPr/>
        </xdr:nvSpPr>
        <xdr:spPr>
          <a:xfrm>
            <a:off x="2619375" y="1583056"/>
            <a:ext cx="3124199" cy="97154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56795B1-44EE-4D76-A3A6-AE7BD791D086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en-US" sz="2800">
              <a:solidFill>
                <a:srgbClr val="22C55E"/>
              </a:solidFill>
            </a:endParaRP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C371FE5C-056B-4F65-A33F-F9CB47289D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4075" y="1485900"/>
            <a:ext cx="1219200" cy="1165860"/>
          </a:xfrm>
          <a:prstGeom prst="rect">
            <a:avLst/>
          </a:prstGeom>
        </xdr:spPr>
      </xdr:pic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3BE69B8E-E426-FAA8-CE0B-778E96BFD961}"/>
              </a:ext>
            </a:extLst>
          </xdr:cNvPr>
          <xdr:cNvSpPr/>
        </xdr:nvSpPr>
        <xdr:spPr>
          <a:xfrm>
            <a:off x="1819274" y="1200150"/>
            <a:ext cx="4714875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solidFill>
                  <a:schemeClr val="bg1"/>
                </a:solidFill>
              </a:rPr>
              <a:t>TOTAL SUBSCRIPTIONS</a:t>
            </a:r>
            <a:r>
              <a:rPr lang="pt-BR" sz="1100" b="1" baseline="0">
                <a:solidFill>
                  <a:schemeClr val="bg1"/>
                </a:solidFill>
              </a:rPr>
              <a:t> EA PLAY SEASON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381000</xdr:colOff>
      <xdr:row>4</xdr:row>
      <xdr:rowOff>123825</xdr:rowOff>
    </xdr:from>
    <xdr:to>
      <xdr:col>18</xdr:col>
      <xdr:colOff>381001</xdr:colOff>
      <xdr:row>12</xdr:row>
      <xdr:rowOff>19050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9C0C51E-CBFC-7ED1-358A-06D357FEEDE8}"/>
            </a:ext>
          </a:extLst>
        </xdr:cNvPr>
        <xdr:cNvGrpSpPr/>
      </xdr:nvGrpSpPr>
      <xdr:grpSpPr>
        <a:xfrm>
          <a:off x="7143750" y="1276350"/>
          <a:ext cx="4695826" cy="1524000"/>
          <a:chOff x="7353300" y="1285875"/>
          <a:chExt cx="4714876" cy="1476375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44A148A3-5925-47EA-9904-181FC1D330B8}"/>
              </a:ext>
            </a:extLst>
          </xdr:cNvPr>
          <xdr:cNvGrpSpPr/>
        </xdr:nvGrpSpPr>
        <xdr:grpSpPr>
          <a:xfrm>
            <a:off x="7353300" y="1285875"/>
            <a:ext cx="4714876" cy="1476375"/>
            <a:chOff x="1819274" y="1190625"/>
            <a:chExt cx="4714876" cy="1476375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B097ED1D-4EC7-666B-5854-8AA2ADA265FF}"/>
                </a:ext>
              </a:extLst>
            </xdr:cNvPr>
            <xdr:cNvSpPr/>
          </xdr:nvSpPr>
          <xdr:spPr>
            <a:xfrm>
              <a:off x="1819275" y="1190625"/>
              <a:ext cx="4714875" cy="1476375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4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067ABFD4-2B71-5E82-A269-87C1FDA638F5}"/>
                </a:ext>
              </a:extLst>
            </xdr:cNvPr>
            <xdr:cNvSpPr/>
          </xdr:nvSpPr>
          <xdr:spPr>
            <a:xfrm>
              <a:off x="2752725" y="1659256"/>
              <a:ext cx="3124199" cy="97154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9A37498-089B-4048-9C5D-63994D72663E}" type="TxLink">
                <a:rPr lang="en-US" sz="28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en-US" sz="2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65C815B0-8324-C081-EC6E-F12397351C18}"/>
                </a:ext>
              </a:extLst>
            </xdr:cNvPr>
            <xdr:cNvSpPr/>
          </xdr:nvSpPr>
          <xdr:spPr>
            <a:xfrm>
              <a:off x="1819274" y="1200150"/>
              <a:ext cx="4714875" cy="381000"/>
            </a:xfrm>
            <a:prstGeom prst="round2SameRect">
              <a:avLst>
                <a:gd name="adj1" fmla="val 41667"/>
                <a:gd name="adj2" fmla="val 0"/>
              </a:avLst>
            </a:prstGeom>
            <a:solidFill>
              <a:srgbClr val="2AE6B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</a:rPr>
                <a:t>TOTAL SUBSCRIPTIONS</a:t>
              </a:r>
              <a:r>
                <a:rPr lang="pt-BR" sz="1100" b="1" baseline="0">
                  <a:solidFill>
                    <a:schemeClr val="bg1"/>
                  </a:solidFill>
                </a:rPr>
                <a:t> MINECRAFT SEASON PASS</a:t>
              </a:r>
              <a:endParaRPr lang="pt-BR" sz="11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12AC38F3-243B-48E4-9527-46D3A14285B3}"/>
              </a:ext>
            </a:extLst>
          </xdr:cNvPr>
          <xdr:cNvGrpSpPr/>
        </xdr:nvGrpSpPr>
        <xdr:grpSpPr>
          <a:xfrm>
            <a:off x="7439025" y="1714500"/>
            <a:ext cx="1409700" cy="742950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844804E3-B299-ED0D-D01F-189581F09C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CA61F5EC-E7A4-0313-7E78-15D6EBBC66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161925</xdr:colOff>
      <xdr:row>13</xdr:row>
      <xdr:rowOff>95249</xdr:rowOff>
    </xdr:from>
    <xdr:to>
      <xdr:col>18</xdr:col>
      <xdr:colOff>495299</xdr:colOff>
      <xdr:row>16</xdr:row>
      <xdr:rowOff>133349</xdr:rowOff>
    </xdr:to>
    <xdr:sp macro="" textlink="">
      <xdr:nvSpPr>
        <xdr:cNvPr id="28" name="Retângulo: Cantos Superiores Arredondados 27">
          <a:extLst>
            <a:ext uri="{FF2B5EF4-FFF2-40B4-BE49-F238E27FC236}">
              <a16:creationId xmlns:a16="http://schemas.microsoft.com/office/drawing/2014/main" id="{1BB903A3-2807-4BC5-9543-1DD5F612F919}"/>
            </a:ext>
          </a:extLst>
        </xdr:cNvPr>
        <xdr:cNvSpPr/>
      </xdr:nvSpPr>
      <xdr:spPr>
        <a:xfrm>
          <a:off x="1857375" y="3009899"/>
          <a:ext cx="10172699" cy="581025"/>
        </a:xfrm>
        <a:prstGeom prst="round2SameRect">
          <a:avLst>
            <a:gd name="adj1" fmla="val 50000"/>
            <a:gd name="adj2" fmla="val 0"/>
          </a:avLst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</a:rPr>
            <a:t>TOTAL SUBSCRIPTIONS</a:t>
          </a:r>
          <a:r>
            <a:rPr lang="pt-BR" sz="1100" b="1" baseline="0">
              <a:solidFill>
                <a:schemeClr val="bg1"/>
              </a:solidFill>
            </a:rPr>
            <a:t> XBOX GAME PASS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457200</xdr:colOff>
      <xdr:row>1</xdr:row>
      <xdr:rowOff>66675</xdr:rowOff>
    </xdr:from>
    <xdr:to>
      <xdr:col>0</xdr:col>
      <xdr:colOff>1152525</xdr:colOff>
      <xdr:row>3</xdr:row>
      <xdr:rowOff>100965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413BD80E-25CC-4CC9-860B-A3196E857B81}"/>
            </a:ext>
          </a:extLst>
        </xdr:cNvPr>
        <xdr:cNvSpPr/>
      </xdr:nvSpPr>
      <xdr:spPr>
        <a:xfrm>
          <a:off x="457200" y="2476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133350</xdr:colOff>
      <xdr:row>3</xdr:row>
      <xdr:rowOff>180975</xdr:rowOff>
    </xdr:from>
    <xdr:to>
      <xdr:col>0</xdr:col>
      <xdr:colOff>1609725</xdr:colOff>
      <xdr:row>4</xdr:row>
      <xdr:rowOff>114300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6F1C60AD-B645-80DF-0D05-839EAD5C912F}"/>
            </a:ext>
          </a:extLst>
        </xdr:cNvPr>
        <xdr:cNvSpPr/>
      </xdr:nvSpPr>
      <xdr:spPr>
        <a:xfrm>
          <a:off x="133350" y="990600"/>
          <a:ext cx="1476375" cy="276225"/>
        </a:xfrm>
        <a:prstGeom prst="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&gt;Bem vinda Thayana</a:t>
          </a:r>
        </a:p>
        <a:p>
          <a:pPr algn="l"/>
          <a:endParaRPr lang="pt-BR" sz="1100"/>
        </a:p>
      </xdr:txBody>
    </xdr:sp>
    <xdr:clientData/>
  </xdr:twoCellAnchor>
  <xdr:twoCellAnchor>
    <xdr:from>
      <xdr:col>1</xdr:col>
      <xdr:colOff>228600</xdr:colOff>
      <xdr:row>3</xdr:row>
      <xdr:rowOff>114301</xdr:rowOff>
    </xdr:from>
    <xdr:to>
      <xdr:col>8</xdr:col>
      <xdr:colOff>426720</xdr:colOff>
      <xdr:row>4</xdr:row>
      <xdr:rowOff>7621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B4BD31DA-6295-4796-A3C3-0C9A59E29FD8}"/>
            </a:ext>
          </a:extLst>
        </xdr:cNvPr>
        <xdr:cNvSpPr/>
      </xdr:nvSpPr>
      <xdr:spPr>
        <a:xfrm>
          <a:off x="1920240" y="922021"/>
          <a:ext cx="409956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Periodo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de apuração: 01/01/2025 - 13/04/2025 | Update: 13/04/2025</a:t>
          </a:r>
          <a:endParaRPr lang="pt-BR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15241</xdr:rowOff>
    </xdr:from>
    <xdr:to>
      <xdr:col>1</xdr:col>
      <xdr:colOff>0</xdr:colOff>
      <xdr:row>11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Subscription Type 1">
              <a:extLst>
                <a:ext uri="{FF2B5EF4-FFF2-40B4-BE49-F238E27FC236}">
                  <a16:creationId xmlns:a16="http://schemas.microsoft.com/office/drawing/2014/main" id="{45441E12-4872-4342-919F-F7C869D7EE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48716"/>
              <a:ext cx="1647825" cy="12706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152400</xdr:colOff>
      <xdr:row>4</xdr:row>
      <xdr:rowOff>114300</xdr:rowOff>
    </xdr:from>
    <xdr:to>
      <xdr:col>18</xdr:col>
      <xdr:colOff>142876</xdr:colOff>
      <xdr:row>12</xdr:row>
      <xdr:rowOff>9525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49B9A5C5-01E5-441B-9F71-E96F69E93400}"/>
            </a:ext>
          </a:extLst>
        </xdr:cNvPr>
        <xdr:cNvGrpSpPr/>
      </xdr:nvGrpSpPr>
      <xdr:grpSpPr>
        <a:xfrm>
          <a:off x="6915150" y="952500"/>
          <a:ext cx="4695826" cy="1524000"/>
          <a:chOff x="7353300" y="1285875"/>
          <a:chExt cx="4714876" cy="1476375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B27FDAD9-B006-0B84-36AD-2892ABA9E8F0}"/>
              </a:ext>
            </a:extLst>
          </xdr:cNvPr>
          <xdr:cNvGrpSpPr/>
        </xdr:nvGrpSpPr>
        <xdr:grpSpPr>
          <a:xfrm>
            <a:off x="7353300" y="1285875"/>
            <a:ext cx="4714876" cy="1476375"/>
            <a:chOff x="1819274" y="1190625"/>
            <a:chExt cx="4714876" cy="1476375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4E5022F4-4597-D7B2-EDD7-6BCB1BC2A0D1}"/>
                </a:ext>
              </a:extLst>
            </xdr:cNvPr>
            <xdr:cNvSpPr/>
          </xdr:nvSpPr>
          <xdr:spPr>
            <a:xfrm>
              <a:off x="1819275" y="1190625"/>
              <a:ext cx="4714875" cy="1476375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4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DDD1C686-4911-4C75-A0F7-4B2A0D19C218}"/>
                </a:ext>
              </a:extLst>
            </xdr:cNvPr>
            <xdr:cNvSpPr/>
          </xdr:nvSpPr>
          <xdr:spPr>
            <a:xfrm>
              <a:off x="2752725" y="1659256"/>
              <a:ext cx="3124199" cy="97154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9A37498-089B-4048-9C5D-63994D72663E}" type="TxLink">
                <a:rPr lang="en-US" sz="28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en-US" sz="2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9" name="Retângulo: Cantos Superiores Arredondados 28">
              <a:extLst>
                <a:ext uri="{FF2B5EF4-FFF2-40B4-BE49-F238E27FC236}">
                  <a16:creationId xmlns:a16="http://schemas.microsoft.com/office/drawing/2014/main" id="{F4D39768-AFD9-B271-2A08-2022DF55D856}"/>
                </a:ext>
              </a:extLst>
            </xdr:cNvPr>
            <xdr:cNvSpPr/>
          </xdr:nvSpPr>
          <xdr:spPr>
            <a:xfrm>
              <a:off x="1819274" y="1200150"/>
              <a:ext cx="4714875" cy="381000"/>
            </a:xfrm>
            <a:prstGeom prst="round2SameRect">
              <a:avLst>
                <a:gd name="adj1" fmla="val 41667"/>
                <a:gd name="adj2" fmla="val 0"/>
              </a:avLst>
            </a:prstGeom>
            <a:solidFill>
              <a:srgbClr val="2AE6B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</a:rPr>
                <a:t>TOTAL SUBSCRIPTIONS</a:t>
              </a:r>
              <a:r>
                <a:rPr lang="pt-BR" sz="1100" b="1" baseline="0">
                  <a:solidFill>
                    <a:schemeClr val="bg1"/>
                  </a:solidFill>
                </a:rPr>
                <a:t> MINECRAFT SEASON PASS</a:t>
              </a:r>
              <a:endParaRPr lang="pt-BR" sz="11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FCD83F74-A0E7-A440-4200-1EBE57745FBD}"/>
              </a:ext>
            </a:extLst>
          </xdr:cNvPr>
          <xdr:cNvGrpSpPr/>
        </xdr:nvGrpSpPr>
        <xdr:grpSpPr>
          <a:xfrm>
            <a:off x="7439025" y="1714500"/>
            <a:ext cx="1409700" cy="742950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4F346A77-8374-E6EE-0915-DD87A1963E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30FDA131-C8EB-F5DB-F9D1-14E14C187F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457200</xdr:colOff>
      <xdr:row>0</xdr:row>
      <xdr:rowOff>152401</xdr:rowOff>
    </xdr:from>
    <xdr:to>
      <xdr:col>0</xdr:col>
      <xdr:colOff>1152525</xdr:colOff>
      <xdr:row>3</xdr:row>
      <xdr:rowOff>100966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968B15CC-F75E-45DE-87A1-B7CDD490585C}"/>
            </a:ext>
          </a:extLst>
        </xdr:cNvPr>
        <xdr:cNvSpPr/>
      </xdr:nvSpPr>
      <xdr:spPr>
        <a:xfrm>
          <a:off x="457200" y="152401"/>
          <a:ext cx="695325" cy="58674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133350</xdr:colOff>
      <xdr:row>3</xdr:row>
      <xdr:rowOff>180975</xdr:rowOff>
    </xdr:from>
    <xdr:to>
      <xdr:col>0</xdr:col>
      <xdr:colOff>1609725</xdr:colOff>
      <xdr:row>4</xdr:row>
      <xdr:rowOff>228600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4CA3F2DD-D844-4E9F-93A9-662F34CAD87F}"/>
            </a:ext>
          </a:extLst>
        </xdr:cNvPr>
        <xdr:cNvSpPr/>
      </xdr:nvSpPr>
      <xdr:spPr>
        <a:xfrm>
          <a:off x="133350" y="819150"/>
          <a:ext cx="1476375" cy="247650"/>
        </a:xfrm>
        <a:prstGeom prst="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&gt;Bem vinda Thayana</a:t>
          </a:r>
        </a:p>
        <a:p>
          <a:pPr algn="l"/>
          <a:endParaRPr lang="pt-BR" sz="1100"/>
        </a:p>
      </xdr:txBody>
    </xdr:sp>
    <xdr:clientData/>
  </xdr:twoCellAnchor>
  <xdr:twoCellAnchor>
    <xdr:from>
      <xdr:col>1</xdr:col>
      <xdr:colOff>228600</xdr:colOff>
      <xdr:row>3</xdr:row>
      <xdr:rowOff>19050</xdr:rowOff>
    </xdr:from>
    <xdr:to>
      <xdr:col>8</xdr:col>
      <xdr:colOff>426720</xdr:colOff>
      <xdr:row>4</xdr:row>
      <xdr:rowOff>47624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AEC2F686-DBAB-4F76-AA34-9C1A70DA699D}"/>
            </a:ext>
          </a:extLst>
        </xdr:cNvPr>
        <xdr:cNvSpPr/>
      </xdr:nvSpPr>
      <xdr:spPr>
        <a:xfrm>
          <a:off x="1876425" y="657225"/>
          <a:ext cx="4093845" cy="228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Periodo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de apuração: 01/01/2025 - 13/04/2025 | Update: 14/04/2025</a:t>
          </a:r>
          <a:endParaRPr lang="pt-BR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200025</xdr:colOff>
      <xdr:row>4</xdr:row>
      <xdr:rowOff>95250</xdr:rowOff>
    </xdr:from>
    <xdr:to>
      <xdr:col>9</xdr:col>
      <xdr:colOff>400051</xdr:colOff>
      <xdr:row>11</xdr:row>
      <xdr:rowOff>180975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70629654-2D60-4D33-B749-667060F661AB}"/>
            </a:ext>
          </a:extLst>
        </xdr:cNvPr>
        <xdr:cNvGrpSpPr/>
      </xdr:nvGrpSpPr>
      <xdr:grpSpPr>
        <a:xfrm>
          <a:off x="1847850" y="933450"/>
          <a:ext cx="4705351" cy="1524000"/>
          <a:chOff x="1819274" y="1190625"/>
          <a:chExt cx="4714876" cy="1476375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EE4268A0-90C5-21F9-71A7-34148746F355}"/>
              </a:ext>
            </a:extLst>
          </xdr:cNvPr>
          <xdr:cNvSpPr/>
        </xdr:nvSpPr>
        <xdr:spPr>
          <a:xfrm>
            <a:off x="1819275" y="1190625"/>
            <a:ext cx="4714875" cy="147637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1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E7223275-CC2D-D4EF-B465-3B0AC4C9CE4F}"/>
              </a:ext>
            </a:extLst>
          </xdr:cNvPr>
          <xdr:cNvSpPr/>
        </xdr:nvSpPr>
        <xdr:spPr>
          <a:xfrm>
            <a:off x="2619375" y="1583056"/>
            <a:ext cx="3124199" cy="97154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56795B1-44EE-4D76-A3A6-AE7BD791D086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en-US" sz="2800">
              <a:solidFill>
                <a:srgbClr val="22C55E"/>
              </a:solidFill>
            </a:endParaRPr>
          </a:p>
        </xdr:txBody>
      </xdr:sp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77367DBD-2ACF-9735-C6DD-7A2EB3A760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4075" y="1485900"/>
            <a:ext cx="1219200" cy="1165860"/>
          </a:xfrm>
          <a:prstGeom prst="rect">
            <a:avLst/>
          </a:prstGeom>
        </xdr:spPr>
      </xdr:pic>
      <xdr:sp macro="" textlink="">
        <xdr:nvSpPr>
          <xdr:cNvPr id="38" name="Retângulo: Cantos Superiores Arredondados 37">
            <a:extLst>
              <a:ext uri="{FF2B5EF4-FFF2-40B4-BE49-F238E27FC236}">
                <a16:creationId xmlns:a16="http://schemas.microsoft.com/office/drawing/2014/main" id="{66EB27C1-2FFB-1FB6-630F-FAE4794324B0}"/>
              </a:ext>
            </a:extLst>
          </xdr:cNvPr>
          <xdr:cNvSpPr/>
        </xdr:nvSpPr>
        <xdr:spPr>
          <a:xfrm>
            <a:off x="1819274" y="1200150"/>
            <a:ext cx="4714875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solidFill>
                  <a:schemeClr val="bg1"/>
                </a:solidFill>
              </a:rPr>
              <a:t>TOTAL SUBSCRIPTIONS</a:t>
            </a:r>
            <a:r>
              <a:rPr lang="pt-BR" sz="1100" b="1" baseline="0">
                <a:solidFill>
                  <a:schemeClr val="bg1"/>
                </a:solidFill>
              </a:rPr>
              <a:t> EA PLAY SEASON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171450</xdr:colOff>
      <xdr:row>14</xdr:row>
      <xdr:rowOff>57150</xdr:rowOff>
    </xdr:from>
    <xdr:to>
      <xdr:col>18</xdr:col>
      <xdr:colOff>104774</xdr:colOff>
      <xdr:row>34</xdr:row>
      <xdr:rowOff>9525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61AA6386-E9C0-657F-BA38-28145D7C1221}"/>
            </a:ext>
          </a:extLst>
        </xdr:cNvPr>
        <xdr:cNvGrpSpPr/>
      </xdr:nvGrpSpPr>
      <xdr:grpSpPr>
        <a:xfrm>
          <a:off x="1819275" y="2905125"/>
          <a:ext cx="9753599" cy="3762375"/>
          <a:chOff x="1819275" y="2905125"/>
          <a:chExt cx="5130018" cy="2790825"/>
        </a:xfrm>
      </xdr:grpSpPr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63DFF2F1-D17C-A6FB-C08A-7D5CCB76AE98}"/>
              </a:ext>
            </a:extLst>
          </xdr:cNvPr>
          <xdr:cNvSpPr/>
        </xdr:nvSpPr>
        <xdr:spPr>
          <a:xfrm>
            <a:off x="1819275" y="2905125"/>
            <a:ext cx="5130018" cy="279082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9" name="Gráfico 38">
            <a:extLst>
              <a:ext uri="{FF2B5EF4-FFF2-40B4-BE49-F238E27FC236}">
                <a16:creationId xmlns:a16="http://schemas.microsoft.com/office/drawing/2014/main" id="{FA50F3DF-DC6B-4141-9E98-0F958B6C8E97}"/>
              </a:ext>
            </a:extLst>
          </xdr:cNvPr>
          <xdr:cNvGraphicFramePr>
            <a:graphicFrameLocks/>
          </xdr:cNvGraphicFramePr>
        </xdr:nvGraphicFramePr>
        <xdr:xfrm>
          <a:off x="2009775" y="3378505"/>
          <a:ext cx="4572000" cy="21459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 editAs="oneCell">
    <xdr:from>
      <xdr:col>0</xdr:col>
      <xdr:colOff>47625</xdr:colOff>
      <xdr:row>11</xdr:row>
      <xdr:rowOff>180975</xdr:rowOff>
    </xdr:from>
    <xdr:to>
      <xdr:col>0</xdr:col>
      <xdr:colOff>1581150</xdr:colOff>
      <xdr:row>18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Auto Renewal">
              <a:extLst>
                <a:ext uri="{FF2B5EF4-FFF2-40B4-BE49-F238E27FC236}">
                  <a16:creationId xmlns:a16="http://schemas.microsoft.com/office/drawing/2014/main" id="{7D09694C-6CFA-4F3D-880B-01DA2C0E9D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2457450"/>
              <a:ext cx="1533525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161925</xdr:colOff>
      <xdr:row>14</xdr:row>
      <xdr:rowOff>38100</xdr:rowOff>
    </xdr:from>
    <xdr:to>
      <xdr:col>18</xdr:col>
      <xdr:colOff>114300</xdr:colOff>
      <xdr:row>17</xdr:row>
      <xdr:rowOff>180975</xdr:rowOff>
    </xdr:to>
    <xdr:sp macro="" textlink="">
      <xdr:nvSpPr>
        <xdr:cNvPr id="45" name="Retângulo: Cantos Superiores Arredondados 44">
          <a:extLst>
            <a:ext uri="{FF2B5EF4-FFF2-40B4-BE49-F238E27FC236}">
              <a16:creationId xmlns:a16="http://schemas.microsoft.com/office/drawing/2014/main" id="{E8B2C4B2-71F4-48D8-A811-5DDEEC503B00}"/>
            </a:ext>
          </a:extLst>
        </xdr:cNvPr>
        <xdr:cNvSpPr/>
      </xdr:nvSpPr>
      <xdr:spPr>
        <a:xfrm>
          <a:off x="1809750" y="2886075"/>
          <a:ext cx="9772650" cy="714375"/>
        </a:xfrm>
        <a:prstGeom prst="round2SameRect">
          <a:avLst>
            <a:gd name="adj1" fmla="val 50000"/>
            <a:gd name="adj2" fmla="val 0"/>
          </a:avLst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</a:rPr>
            <a:t>TOTAL DE</a:t>
          </a:r>
          <a:r>
            <a:rPr lang="pt-BR" sz="1100" b="1" baseline="0">
              <a:solidFill>
                <a:schemeClr val="bg1"/>
              </a:solidFill>
            </a:rPr>
            <a:t> VENDAS  POR PERIODO DE AUTO RENOVAÇÃO OU NÃO EA PLAY SEASON/ MINECRAFT SEASON PASS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1409700</xdr:colOff>
      <xdr:row>0</xdr:row>
      <xdr:rowOff>38100</xdr:rowOff>
    </xdr:from>
    <xdr:to>
      <xdr:col>2</xdr:col>
      <xdr:colOff>342900</xdr:colOff>
      <xdr:row>3</xdr:row>
      <xdr:rowOff>123825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60C16843-E8CD-477E-9945-BFBD4F9A07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-1" r="72314" b="23535"/>
        <a:stretch/>
      </xdr:blipFill>
      <xdr:spPr>
        <a:xfrm>
          <a:off x="1409700" y="38100"/>
          <a:ext cx="819150" cy="7239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yana Santos" refreshedDate="45760.913972106478" createdVersion="8" refreshedVersion="8" minRefreshableVersion="3" recordCount="295" xr:uid="{39F30EDC-B9CB-4355-AC6C-748C66D3EB45}">
  <cacheSource type="worksheet">
    <worksheetSource name="Tabela1"/>
  </cacheSource>
  <cacheFields count="15">
    <cacheField name="Tabela 1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2264969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s v="Yes"/>
    <x v="0"/>
    <s v="Yes"/>
    <n v="20"/>
    <n v="5"/>
    <n v="60"/>
  </r>
  <r>
    <n v="3232"/>
    <x v="1"/>
    <x v="1"/>
    <x v="1"/>
    <x v="1"/>
    <x v="1"/>
    <x v="1"/>
    <s v="No"/>
    <x v="1"/>
    <s v="No"/>
    <n v="0"/>
    <n v="0"/>
    <n v="5"/>
  </r>
  <r>
    <n v="3233"/>
    <x v="2"/>
    <x v="2"/>
    <x v="2"/>
    <x v="0"/>
    <x v="2"/>
    <x v="2"/>
    <s v="No"/>
    <x v="1"/>
    <s v="Yes"/>
    <n v="20"/>
    <n v="10"/>
    <n v="20"/>
  </r>
  <r>
    <n v="3234"/>
    <x v="3"/>
    <x v="0"/>
    <x v="3"/>
    <x v="1"/>
    <x v="0"/>
    <x v="0"/>
    <s v="Yes"/>
    <x v="0"/>
    <s v="Yes"/>
    <n v="20"/>
    <n v="3"/>
    <n v="62"/>
  </r>
  <r>
    <n v="3235"/>
    <x v="4"/>
    <x v="1"/>
    <x v="4"/>
    <x v="0"/>
    <x v="1"/>
    <x v="0"/>
    <s v="No"/>
    <x v="1"/>
    <s v="No"/>
    <n v="0"/>
    <n v="1"/>
    <n v="4"/>
  </r>
  <r>
    <n v="3236"/>
    <x v="5"/>
    <x v="2"/>
    <x v="5"/>
    <x v="1"/>
    <x v="2"/>
    <x v="0"/>
    <s v="No"/>
    <x v="1"/>
    <s v="Yes"/>
    <n v="20"/>
    <n v="2"/>
    <n v="28"/>
  </r>
  <r>
    <n v="3237"/>
    <x v="6"/>
    <x v="0"/>
    <x v="6"/>
    <x v="0"/>
    <x v="0"/>
    <x v="2"/>
    <s v="Yes"/>
    <x v="0"/>
    <s v="Yes"/>
    <n v="20"/>
    <n v="10"/>
    <n v="55"/>
  </r>
  <r>
    <n v="3238"/>
    <x v="7"/>
    <x v="1"/>
    <x v="7"/>
    <x v="0"/>
    <x v="1"/>
    <x v="1"/>
    <s v="No"/>
    <x v="1"/>
    <s v="No"/>
    <n v="0"/>
    <n v="0"/>
    <n v="5"/>
  </r>
  <r>
    <n v="3239"/>
    <x v="8"/>
    <x v="0"/>
    <x v="4"/>
    <x v="1"/>
    <x v="0"/>
    <x v="0"/>
    <s v="Yes"/>
    <x v="0"/>
    <s v="Yes"/>
    <n v="20"/>
    <n v="5"/>
    <n v="60"/>
  </r>
  <r>
    <n v="3240"/>
    <x v="9"/>
    <x v="2"/>
    <x v="8"/>
    <x v="0"/>
    <x v="2"/>
    <x v="2"/>
    <s v="No"/>
    <x v="1"/>
    <s v="Yes"/>
    <n v="20"/>
    <n v="15"/>
    <n v="15"/>
  </r>
  <r>
    <n v="3241"/>
    <x v="10"/>
    <x v="1"/>
    <x v="9"/>
    <x v="1"/>
    <x v="1"/>
    <x v="0"/>
    <s v="No"/>
    <x v="1"/>
    <s v="No"/>
    <n v="0"/>
    <n v="1"/>
    <n v="4"/>
  </r>
  <r>
    <n v="3242"/>
    <x v="11"/>
    <x v="0"/>
    <x v="10"/>
    <x v="0"/>
    <x v="0"/>
    <x v="1"/>
    <s v="Yes"/>
    <x v="0"/>
    <s v="Yes"/>
    <n v="20"/>
    <n v="20"/>
    <n v="45"/>
  </r>
  <r>
    <n v="3243"/>
    <x v="12"/>
    <x v="2"/>
    <x v="11"/>
    <x v="1"/>
    <x v="2"/>
    <x v="0"/>
    <s v="No"/>
    <x v="1"/>
    <s v="Yes"/>
    <n v="20"/>
    <n v="10"/>
    <n v="20"/>
  </r>
  <r>
    <n v="3244"/>
    <x v="13"/>
    <x v="1"/>
    <x v="12"/>
    <x v="0"/>
    <x v="1"/>
    <x v="2"/>
    <s v="No"/>
    <x v="1"/>
    <s v="No"/>
    <n v="0"/>
    <n v="0"/>
    <n v="5"/>
  </r>
  <r>
    <n v="3245"/>
    <x v="14"/>
    <x v="0"/>
    <x v="13"/>
    <x v="1"/>
    <x v="0"/>
    <x v="0"/>
    <s v="Yes"/>
    <x v="0"/>
    <s v="Yes"/>
    <n v="20"/>
    <n v="8"/>
    <n v="57"/>
  </r>
  <r>
    <n v="3246"/>
    <x v="15"/>
    <x v="2"/>
    <x v="14"/>
    <x v="0"/>
    <x v="2"/>
    <x v="1"/>
    <s v="No"/>
    <x v="1"/>
    <s v="Yes"/>
    <n v="20"/>
    <n v="12"/>
    <n v="18"/>
  </r>
  <r>
    <n v="3247"/>
    <x v="16"/>
    <x v="1"/>
    <x v="15"/>
    <x v="1"/>
    <x v="1"/>
    <x v="0"/>
    <s v="No"/>
    <x v="1"/>
    <s v="No"/>
    <n v="0"/>
    <n v="2"/>
    <n v="3"/>
  </r>
  <r>
    <n v="3248"/>
    <x v="17"/>
    <x v="0"/>
    <x v="16"/>
    <x v="0"/>
    <x v="0"/>
    <x v="2"/>
    <s v="Yes"/>
    <x v="0"/>
    <s v="Yes"/>
    <n v="20"/>
    <n v="7"/>
    <n v="58"/>
  </r>
  <r>
    <n v="3249"/>
    <x v="18"/>
    <x v="2"/>
    <x v="17"/>
    <x v="1"/>
    <x v="2"/>
    <x v="0"/>
    <s v="No"/>
    <x v="1"/>
    <s v="Yes"/>
    <n v="20"/>
    <n v="5"/>
    <n v="25"/>
  </r>
  <r>
    <n v="3250"/>
    <x v="19"/>
    <x v="1"/>
    <x v="18"/>
    <x v="0"/>
    <x v="1"/>
    <x v="1"/>
    <s v="No"/>
    <x v="1"/>
    <s v="No"/>
    <n v="0"/>
    <n v="0"/>
    <n v="5"/>
  </r>
  <r>
    <n v="3251"/>
    <x v="20"/>
    <x v="0"/>
    <x v="19"/>
    <x v="1"/>
    <x v="0"/>
    <x v="0"/>
    <s v="Yes"/>
    <x v="0"/>
    <s v="Yes"/>
    <n v="20"/>
    <n v="3"/>
    <n v="62"/>
  </r>
  <r>
    <n v="3252"/>
    <x v="21"/>
    <x v="2"/>
    <x v="20"/>
    <x v="0"/>
    <x v="2"/>
    <x v="2"/>
    <s v="No"/>
    <x v="1"/>
    <s v="Yes"/>
    <n v="20"/>
    <n v="15"/>
    <n v="15"/>
  </r>
  <r>
    <n v="3253"/>
    <x v="22"/>
    <x v="1"/>
    <x v="21"/>
    <x v="1"/>
    <x v="1"/>
    <x v="0"/>
    <s v="No"/>
    <x v="1"/>
    <s v="No"/>
    <n v="0"/>
    <n v="1"/>
    <n v="4"/>
  </r>
  <r>
    <n v="3254"/>
    <x v="23"/>
    <x v="0"/>
    <x v="22"/>
    <x v="0"/>
    <x v="0"/>
    <x v="1"/>
    <s v="Yes"/>
    <x v="0"/>
    <s v="Yes"/>
    <n v="20"/>
    <n v="20"/>
    <n v="45"/>
  </r>
  <r>
    <n v="3255"/>
    <x v="24"/>
    <x v="2"/>
    <x v="23"/>
    <x v="1"/>
    <x v="2"/>
    <x v="0"/>
    <s v="No"/>
    <x v="1"/>
    <s v="Yes"/>
    <n v="20"/>
    <n v="10"/>
    <n v="20"/>
  </r>
  <r>
    <n v="3256"/>
    <x v="25"/>
    <x v="1"/>
    <x v="24"/>
    <x v="0"/>
    <x v="1"/>
    <x v="2"/>
    <s v="No"/>
    <x v="1"/>
    <s v="No"/>
    <n v="0"/>
    <n v="0"/>
    <n v="5"/>
  </r>
  <r>
    <n v="3257"/>
    <x v="26"/>
    <x v="0"/>
    <x v="25"/>
    <x v="1"/>
    <x v="0"/>
    <x v="0"/>
    <s v="Yes"/>
    <x v="0"/>
    <s v="Yes"/>
    <n v="20"/>
    <n v="5"/>
    <n v="60"/>
  </r>
  <r>
    <n v="3258"/>
    <x v="27"/>
    <x v="2"/>
    <x v="26"/>
    <x v="0"/>
    <x v="2"/>
    <x v="1"/>
    <s v="No"/>
    <x v="1"/>
    <s v="Yes"/>
    <n v="20"/>
    <n v="15"/>
    <n v="15"/>
  </r>
  <r>
    <n v="3259"/>
    <x v="28"/>
    <x v="1"/>
    <x v="27"/>
    <x v="1"/>
    <x v="1"/>
    <x v="0"/>
    <s v="No"/>
    <x v="1"/>
    <s v="No"/>
    <n v="0"/>
    <n v="1"/>
    <n v="4"/>
  </r>
  <r>
    <n v="3260"/>
    <x v="29"/>
    <x v="0"/>
    <x v="28"/>
    <x v="0"/>
    <x v="0"/>
    <x v="2"/>
    <s v="Yes"/>
    <x v="0"/>
    <s v="Yes"/>
    <n v="20"/>
    <n v="7"/>
    <n v="58"/>
  </r>
  <r>
    <n v="3261"/>
    <x v="30"/>
    <x v="2"/>
    <x v="29"/>
    <x v="1"/>
    <x v="2"/>
    <x v="0"/>
    <s v="No"/>
    <x v="1"/>
    <s v="Yes"/>
    <n v="20"/>
    <n v="10"/>
    <n v="20"/>
  </r>
  <r>
    <n v="3262"/>
    <x v="31"/>
    <x v="1"/>
    <x v="30"/>
    <x v="0"/>
    <x v="1"/>
    <x v="1"/>
    <s v="No"/>
    <x v="1"/>
    <s v="No"/>
    <n v="0"/>
    <n v="0"/>
    <n v="5"/>
  </r>
  <r>
    <n v="3263"/>
    <x v="32"/>
    <x v="0"/>
    <x v="31"/>
    <x v="1"/>
    <x v="0"/>
    <x v="0"/>
    <s v="Yes"/>
    <x v="0"/>
    <s v="Yes"/>
    <n v="20"/>
    <n v="3"/>
    <n v="62"/>
  </r>
  <r>
    <n v="3264"/>
    <x v="33"/>
    <x v="2"/>
    <x v="32"/>
    <x v="0"/>
    <x v="2"/>
    <x v="2"/>
    <s v="No"/>
    <x v="1"/>
    <s v="Yes"/>
    <n v="20"/>
    <n v="15"/>
    <n v="15"/>
  </r>
  <r>
    <n v="3265"/>
    <x v="34"/>
    <x v="1"/>
    <x v="33"/>
    <x v="1"/>
    <x v="1"/>
    <x v="0"/>
    <s v="No"/>
    <x v="1"/>
    <s v="No"/>
    <n v="0"/>
    <n v="1"/>
    <n v="4"/>
  </r>
  <r>
    <n v="3266"/>
    <x v="35"/>
    <x v="1"/>
    <x v="34"/>
    <x v="0"/>
    <x v="1"/>
    <x v="0"/>
    <s v="No"/>
    <x v="1"/>
    <s v="No"/>
    <n v="0"/>
    <n v="0"/>
    <n v="5"/>
  </r>
  <r>
    <n v="3267"/>
    <x v="36"/>
    <x v="0"/>
    <x v="35"/>
    <x v="1"/>
    <x v="0"/>
    <x v="2"/>
    <s v="Yes"/>
    <x v="0"/>
    <s v="Yes"/>
    <n v="20"/>
    <n v="7"/>
    <n v="58"/>
  </r>
  <r>
    <n v="3268"/>
    <x v="37"/>
    <x v="2"/>
    <x v="36"/>
    <x v="0"/>
    <x v="2"/>
    <x v="1"/>
    <s v="No"/>
    <x v="1"/>
    <s v="Yes"/>
    <n v="20"/>
    <n v="10"/>
    <n v="20"/>
  </r>
  <r>
    <n v="3269"/>
    <x v="38"/>
    <x v="1"/>
    <x v="37"/>
    <x v="1"/>
    <x v="1"/>
    <x v="2"/>
    <s v="No"/>
    <x v="1"/>
    <s v="No"/>
    <n v="0"/>
    <n v="1"/>
    <n v="4"/>
  </r>
  <r>
    <n v="3270"/>
    <x v="39"/>
    <x v="0"/>
    <x v="38"/>
    <x v="0"/>
    <x v="0"/>
    <x v="0"/>
    <s v="Yes"/>
    <x v="0"/>
    <s v="Yes"/>
    <n v="20"/>
    <n v="15"/>
    <n v="50"/>
  </r>
  <r>
    <n v="3271"/>
    <x v="40"/>
    <x v="2"/>
    <x v="39"/>
    <x v="1"/>
    <x v="2"/>
    <x v="0"/>
    <s v="No"/>
    <x v="1"/>
    <s v="Yes"/>
    <n v="20"/>
    <n v="5"/>
    <n v="25"/>
  </r>
  <r>
    <n v="3272"/>
    <x v="41"/>
    <x v="1"/>
    <x v="40"/>
    <x v="0"/>
    <x v="1"/>
    <x v="1"/>
    <s v="No"/>
    <x v="1"/>
    <s v="No"/>
    <n v="0"/>
    <n v="0"/>
    <n v="5"/>
  </r>
  <r>
    <n v="3273"/>
    <x v="42"/>
    <x v="0"/>
    <x v="41"/>
    <x v="1"/>
    <x v="0"/>
    <x v="2"/>
    <s v="Yes"/>
    <x v="0"/>
    <s v="Yes"/>
    <n v="20"/>
    <n v="20"/>
    <n v="45"/>
  </r>
  <r>
    <n v="3274"/>
    <x v="43"/>
    <x v="2"/>
    <x v="42"/>
    <x v="0"/>
    <x v="2"/>
    <x v="2"/>
    <s v="No"/>
    <x v="1"/>
    <s v="Yes"/>
    <n v="20"/>
    <n v="12"/>
    <n v="18"/>
  </r>
  <r>
    <n v="3275"/>
    <x v="44"/>
    <x v="1"/>
    <x v="43"/>
    <x v="1"/>
    <x v="1"/>
    <x v="0"/>
    <s v="No"/>
    <x v="1"/>
    <s v="No"/>
    <n v="0"/>
    <n v="2"/>
    <n v="3"/>
  </r>
  <r>
    <n v="3276"/>
    <x v="45"/>
    <x v="0"/>
    <x v="44"/>
    <x v="0"/>
    <x v="0"/>
    <x v="1"/>
    <s v="Yes"/>
    <x v="0"/>
    <s v="Yes"/>
    <n v="20"/>
    <n v="5"/>
    <n v="60"/>
  </r>
  <r>
    <n v="3277"/>
    <x v="46"/>
    <x v="2"/>
    <x v="45"/>
    <x v="1"/>
    <x v="2"/>
    <x v="0"/>
    <s v="No"/>
    <x v="1"/>
    <s v="Yes"/>
    <n v="20"/>
    <n v="10"/>
    <n v="20"/>
  </r>
  <r>
    <n v="3278"/>
    <x v="47"/>
    <x v="1"/>
    <x v="46"/>
    <x v="0"/>
    <x v="1"/>
    <x v="2"/>
    <s v="No"/>
    <x v="1"/>
    <s v="No"/>
    <n v="0"/>
    <n v="0"/>
    <n v="5"/>
  </r>
  <r>
    <n v="3279"/>
    <x v="48"/>
    <x v="0"/>
    <x v="47"/>
    <x v="1"/>
    <x v="0"/>
    <x v="0"/>
    <s v="Yes"/>
    <x v="0"/>
    <s v="Yes"/>
    <n v="20"/>
    <n v="3"/>
    <n v="62"/>
  </r>
  <r>
    <n v="3280"/>
    <x v="49"/>
    <x v="2"/>
    <x v="48"/>
    <x v="0"/>
    <x v="2"/>
    <x v="1"/>
    <s v="No"/>
    <x v="1"/>
    <s v="Yes"/>
    <n v="20"/>
    <n v="15"/>
    <n v="15"/>
  </r>
  <r>
    <n v="3281"/>
    <x v="50"/>
    <x v="1"/>
    <x v="49"/>
    <x v="1"/>
    <x v="1"/>
    <x v="0"/>
    <s v="No"/>
    <x v="1"/>
    <s v="No"/>
    <n v="0"/>
    <n v="1"/>
    <n v="4"/>
  </r>
  <r>
    <n v="3282"/>
    <x v="51"/>
    <x v="0"/>
    <x v="50"/>
    <x v="0"/>
    <x v="0"/>
    <x v="2"/>
    <s v="Yes"/>
    <x v="0"/>
    <s v="Yes"/>
    <n v="20"/>
    <n v="7"/>
    <n v="58"/>
  </r>
  <r>
    <n v="3283"/>
    <x v="52"/>
    <x v="2"/>
    <x v="51"/>
    <x v="1"/>
    <x v="2"/>
    <x v="0"/>
    <s v="No"/>
    <x v="1"/>
    <s v="Yes"/>
    <n v="20"/>
    <n v="10"/>
    <n v="20"/>
  </r>
  <r>
    <n v="3284"/>
    <x v="53"/>
    <x v="1"/>
    <x v="52"/>
    <x v="0"/>
    <x v="1"/>
    <x v="1"/>
    <s v="No"/>
    <x v="1"/>
    <s v="No"/>
    <n v="0"/>
    <n v="0"/>
    <n v="5"/>
  </r>
  <r>
    <n v="3285"/>
    <x v="54"/>
    <x v="0"/>
    <x v="53"/>
    <x v="1"/>
    <x v="0"/>
    <x v="0"/>
    <s v="Yes"/>
    <x v="0"/>
    <s v="Yes"/>
    <n v="20"/>
    <n v="20"/>
    <n v="45"/>
  </r>
  <r>
    <n v="3286"/>
    <x v="55"/>
    <x v="2"/>
    <x v="54"/>
    <x v="0"/>
    <x v="2"/>
    <x v="2"/>
    <s v="No"/>
    <x v="1"/>
    <s v="Yes"/>
    <n v="20"/>
    <n v="15"/>
    <n v="15"/>
  </r>
  <r>
    <n v="3287"/>
    <x v="56"/>
    <x v="1"/>
    <x v="55"/>
    <x v="1"/>
    <x v="1"/>
    <x v="0"/>
    <s v="No"/>
    <x v="1"/>
    <s v="No"/>
    <n v="0"/>
    <n v="1"/>
    <n v="4"/>
  </r>
  <r>
    <n v="3288"/>
    <x v="57"/>
    <x v="0"/>
    <x v="56"/>
    <x v="0"/>
    <x v="0"/>
    <x v="1"/>
    <s v="Yes"/>
    <x v="0"/>
    <s v="Yes"/>
    <n v="20"/>
    <n v="3"/>
    <n v="62"/>
  </r>
  <r>
    <n v="3289"/>
    <x v="58"/>
    <x v="2"/>
    <x v="57"/>
    <x v="1"/>
    <x v="2"/>
    <x v="0"/>
    <s v="No"/>
    <x v="1"/>
    <s v="Yes"/>
    <n v="20"/>
    <n v="10"/>
    <n v="20"/>
  </r>
  <r>
    <n v="3290"/>
    <x v="59"/>
    <x v="1"/>
    <x v="58"/>
    <x v="0"/>
    <x v="1"/>
    <x v="2"/>
    <s v="No"/>
    <x v="1"/>
    <s v="No"/>
    <n v="0"/>
    <n v="0"/>
    <n v="5"/>
  </r>
  <r>
    <n v="3291"/>
    <x v="60"/>
    <x v="0"/>
    <x v="59"/>
    <x v="1"/>
    <x v="0"/>
    <x v="0"/>
    <s v="Yes"/>
    <x v="0"/>
    <s v="Yes"/>
    <n v="20"/>
    <n v="5"/>
    <n v="60"/>
  </r>
  <r>
    <n v="3292"/>
    <x v="61"/>
    <x v="2"/>
    <x v="60"/>
    <x v="0"/>
    <x v="2"/>
    <x v="1"/>
    <s v="No"/>
    <x v="1"/>
    <s v="Yes"/>
    <n v="20"/>
    <n v="15"/>
    <n v="15"/>
  </r>
  <r>
    <n v="3293"/>
    <x v="62"/>
    <x v="1"/>
    <x v="61"/>
    <x v="1"/>
    <x v="1"/>
    <x v="0"/>
    <s v="No"/>
    <x v="1"/>
    <s v="No"/>
    <n v="0"/>
    <n v="1"/>
    <n v="4"/>
  </r>
  <r>
    <n v="3294"/>
    <x v="63"/>
    <x v="0"/>
    <x v="62"/>
    <x v="0"/>
    <x v="0"/>
    <x v="2"/>
    <s v="Yes"/>
    <x v="0"/>
    <s v="Yes"/>
    <n v="20"/>
    <n v="20"/>
    <n v="45"/>
  </r>
  <r>
    <n v="3295"/>
    <x v="64"/>
    <x v="2"/>
    <x v="63"/>
    <x v="1"/>
    <x v="2"/>
    <x v="0"/>
    <s v="No"/>
    <x v="1"/>
    <s v="Yes"/>
    <n v="20"/>
    <n v="5"/>
    <n v="25"/>
  </r>
  <r>
    <n v="3296"/>
    <x v="65"/>
    <x v="1"/>
    <x v="64"/>
    <x v="1"/>
    <x v="1"/>
    <x v="0"/>
    <s v="No"/>
    <x v="1"/>
    <s v="No"/>
    <n v="0"/>
    <n v="0"/>
    <n v="5"/>
  </r>
  <r>
    <n v="3297"/>
    <x v="66"/>
    <x v="0"/>
    <x v="65"/>
    <x v="0"/>
    <x v="0"/>
    <x v="2"/>
    <s v="Yes"/>
    <x v="0"/>
    <s v="Yes"/>
    <n v="20"/>
    <n v="7"/>
    <n v="58"/>
  </r>
  <r>
    <n v="3298"/>
    <x v="67"/>
    <x v="2"/>
    <x v="66"/>
    <x v="1"/>
    <x v="2"/>
    <x v="1"/>
    <s v="No"/>
    <x v="1"/>
    <s v="Yes"/>
    <n v="20"/>
    <n v="10"/>
    <n v="20"/>
  </r>
  <r>
    <n v="3299"/>
    <x v="68"/>
    <x v="1"/>
    <x v="67"/>
    <x v="0"/>
    <x v="1"/>
    <x v="2"/>
    <s v="No"/>
    <x v="1"/>
    <s v="No"/>
    <n v="0"/>
    <n v="1"/>
    <n v="4"/>
  </r>
  <r>
    <n v="3300"/>
    <x v="69"/>
    <x v="0"/>
    <x v="68"/>
    <x v="1"/>
    <x v="0"/>
    <x v="0"/>
    <s v="Yes"/>
    <x v="0"/>
    <s v="Yes"/>
    <n v="20"/>
    <n v="15"/>
    <n v="50"/>
  </r>
  <r>
    <n v="3301"/>
    <x v="70"/>
    <x v="2"/>
    <x v="69"/>
    <x v="0"/>
    <x v="2"/>
    <x v="0"/>
    <s v="No"/>
    <x v="1"/>
    <s v="Yes"/>
    <n v="20"/>
    <n v="5"/>
    <n v="25"/>
  </r>
  <r>
    <n v="3302"/>
    <x v="71"/>
    <x v="1"/>
    <x v="70"/>
    <x v="1"/>
    <x v="1"/>
    <x v="1"/>
    <s v="No"/>
    <x v="1"/>
    <s v="No"/>
    <n v="0"/>
    <n v="0"/>
    <n v="5"/>
  </r>
  <r>
    <n v="3303"/>
    <x v="72"/>
    <x v="0"/>
    <x v="71"/>
    <x v="0"/>
    <x v="0"/>
    <x v="2"/>
    <s v="Yes"/>
    <x v="0"/>
    <s v="Yes"/>
    <n v="20"/>
    <n v="20"/>
    <n v="45"/>
  </r>
  <r>
    <n v="3304"/>
    <x v="73"/>
    <x v="2"/>
    <x v="72"/>
    <x v="1"/>
    <x v="2"/>
    <x v="2"/>
    <s v="No"/>
    <x v="1"/>
    <s v="Yes"/>
    <n v="20"/>
    <n v="12"/>
    <n v="18"/>
  </r>
  <r>
    <n v="3305"/>
    <x v="74"/>
    <x v="1"/>
    <x v="73"/>
    <x v="0"/>
    <x v="1"/>
    <x v="0"/>
    <s v="No"/>
    <x v="1"/>
    <s v="No"/>
    <n v="0"/>
    <n v="2"/>
    <n v="3"/>
  </r>
  <r>
    <n v="3306"/>
    <x v="75"/>
    <x v="0"/>
    <x v="74"/>
    <x v="1"/>
    <x v="0"/>
    <x v="1"/>
    <s v="Yes"/>
    <x v="0"/>
    <s v="Yes"/>
    <n v="20"/>
    <n v="5"/>
    <n v="60"/>
  </r>
  <r>
    <n v="3307"/>
    <x v="76"/>
    <x v="2"/>
    <x v="75"/>
    <x v="0"/>
    <x v="2"/>
    <x v="0"/>
    <s v="No"/>
    <x v="1"/>
    <s v="Yes"/>
    <n v="20"/>
    <n v="10"/>
    <n v="20"/>
  </r>
  <r>
    <n v="3308"/>
    <x v="77"/>
    <x v="1"/>
    <x v="76"/>
    <x v="1"/>
    <x v="1"/>
    <x v="2"/>
    <s v="No"/>
    <x v="1"/>
    <s v="No"/>
    <n v="0"/>
    <n v="0"/>
    <n v="5"/>
  </r>
  <r>
    <n v="3309"/>
    <x v="78"/>
    <x v="0"/>
    <x v="77"/>
    <x v="0"/>
    <x v="0"/>
    <x v="0"/>
    <s v="Yes"/>
    <x v="0"/>
    <s v="Yes"/>
    <n v="20"/>
    <n v="3"/>
    <n v="62"/>
  </r>
  <r>
    <n v="3310"/>
    <x v="79"/>
    <x v="2"/>
    <x v="78"/>
    <x v="1"/>
    <x v="2"/>
    <x v="1"/>
    <s v="No"/>
    <x v="1"/>
    <s v="Yes"/>
    <n v="20"/>
    <n v="15"/>
    <n v="15"/>
  </r>
  <r>
    <n v="3311"/>
    <x v="80"/>
    <x v="1"/>
    <x v="79"/>
    <x v="0"/>
    <x v="1"/>
    <x v="0"/>
    <s v="No"/>
    <x v="1"/>
    <s v="No"/>
    <n v="0"/>
    <n v="1"/>
    <n v="4"/>
  </r>
  <r>
    <n v="3312"/>
    <x v="81"/>
    <x v="0"/>
    <x v="80"/>
    <x v="1"/>
    <x v="0"/>
    <x v="2"/>
    <s v="Yes"/>
    <x v="0"/>
    <s v="Yes"/>
    <n v="20"/>
    <n v="7"/>
    <n v="58"/>
  </r>
  <r>
    <n v="3313"/>
    <x v="82"/>
    <x v="2"/>
    <x v="81"/>
    <x v="0"/>
    <x v="2"/>
    <x v="0"/>
    <s v="No"/>
    <x v="1"/>
    <s v="Yes"/>
    <n v="20"/>
    <n v="10"/>
    <n v="20"/>
  </r>
  <r>
    <n v="3314"/>
    <x v="83"/>
    <x v="1"/>
    <x v="82"/>
    <x v="1"/>
    <x v="1"/>
    <x v="1"/>
    <s v="No"/>
    <x v="1"/>
    <s v="No"/>
    <n v="0"/>
    <n v="0"/>
    <n v="5"/>
  </r>
  <r>
    <n v="3315"/>
    <x v="84"/>
    <x v="0"/>
    <x v="83"/>
    <x v="0"/>
    <x v="0"/>
    <x v="0"/>
    <s v="Yes"/>
    <x v="0"/>
    <s v="Yes"/>
    <n v="20"/>
    <n v="20"/>
    <n v="45"/>
  </r>
  <r>
    <n v="3316"/>
    <x v="85"/>
    <x v="2"/>
    <x v="84"/>
    <x v="1"/>
    <x v="2"/>
    <x v="2"/>
    <s v="No"/>
    <x v="1"/>
    <s v="Yes"/>
    <n v="20"/>
    <n v="15"/>
    <n v="15"/>
  </r>
  <r>
    <n v="3317"/>
    <x v="86"/>
    <x v="1"/>
    <x v="85"/>
    <x v="0"/>
    <x v="1"/>
    <x v="0"/>
    <s v="No"/>
    <x v="1"/>
    <s v="No"/>
    <n v="0"/>
    <n v="1"/>
    <n v="4"/>
  </r>
  <r>
    <n v="3318"/>
    <x v="87"/>
    <x v="0"/>
    <x v="86"/>
    <x v="1"/>
    <x v="0"/>
    <x v="1"/>
    <s v="Yes"/>
    <x v="0"/>
    <s v="Yes"/>
    <n v="20"/>
    <n v="3"/>
    <n v="62"/>
  </r>
  <r>
    <n v="3319"/>
    <x v="88"/>
    <x v="2"/>
    <x v="87"/>
    <x v="0"/>
    <x v="2"/>
    <x v="0"/>
    <s v="No"/>
    <x v="1"/>
    <s v="Yes"/>
    <n v="20"/>
    <n v="10"/>
    <n v="20"/>
  </r>
  <r>
    <n v="3320"/>
    <x v="89"/>
    <x v="1"/>
    <x v="88"/>
    <x v="1"/>
    <x v="1"/>
    <x v="2"/>
    <s v="No"/>
    <x v="1"/>
    <s v="No"/>
    <n v="0"/>
    <n v="0"/>
    <n v="5"/>
  </r>
  <r>
    <n v="3321"/>
    <x v="90"/>
    <x v="0"/>
    <x v="89"/>
    <x v="0"/>
    <x v="0"/>
    <x v="0"/>
    <s v="Yes"/>
    <x v="0"/>
    <s v="Yes"/>
    <n v="20"/>
    <n v="5"/>
    <n v="60"/>
  </r>
  <r>
    <n v="3322"/>
    <x v="91"/>
    <x v="2"/>
    <x v="90"/>
    <x v="1"/>
    <x v="2"/>
    <x v="1"/>
    <s v="No"/>
    <x v="1"/>
    <s v="Yes"/>
    <n v="20"/>
    <n v="15"/>
    <n v="15"/>
  </r>
  <r>
    <n v="3323"/>
    <x v="92"/>
    <x v="1"/>
    <x v="91"/>
    <x v="0"/>
    <x v="1"/>
    <x v="0"/>
    <s v="No"/>
    <x v="1"/>
    <s v="No"/>
    <n v="0"/>
    <n v="1"/>
    <n v="4"/>
  </r>
  <r>
    <n v="3324"/>
    <x v="93"/>
    <x v="0"/>
    <x v="92"/>
    <x v="1"/>
    <x v="0"/>
    <x v="2"/>
    <s v="Yes"/>
    <x v="0"/>
    <s v="Yes"/>
    <n v="20"/>
    <n v="20"/>
    <n v="45"/>
  </r>
  <r>
    <n v="3325"/>
    <x v="94"/>
    <x v="2"/>
    <x v="93"/>
    <x v="0"/>
    <x v="2"/>
    <x v="2"/>
    <s v="No"/>
    <x v="1"/>
    <s v="Yes"/>
    <n v="20"/>
    <n v="15"/>
    <n v="15"/>
  </r>
  <r>
    <n v="3326"/>
    <x v="95"/>
    <x v="1"/>
    <x v="94"/>
    <x v="1"/>
    <x v="1"/>
    <x v="1"/>
    <s v="No"/>
    <x v="1"/>
    <s v="No"/>
    <n v="0"/>
    <n v="0"/>
    <n v="5"/>
  </r>
  <r>
    <n v="3327"/>
    <x v="96"/>
    <x v="0"/>
    <x v="95"/>
    <x v="0"/>
    <x v="0"/>
    <x v="0"/>
    <s v="Yes"/>
    <x v="0"/>
    <s v="Yes"/>
    <n v="20"/>
    <n v="7"/>
    <n v="58"/>
  </r>
  <r>
    <n v="3328"/>
    <x v="97"/>
    <x v="2"/>
    <x v="96"/>
    <x v="1"/>
    <x v="2"/>
    <x v="1"/>
    <s v="No"/>
    <x v="1"/>
    <s v="Yes"/>
    <n v="20"/>
    <n v="10"/>
    <n v="20"/>
  </r>
  <r>
    <n v="3329"/>
    <x v="98"/>
    <x v="1"/>
    <x v="97"/>
    <x v="0"/>
    <x v="1"/>
    <x v="2"/>
    <s v="No"/>
    <x v="1"/>
    <s v="No"/>
    <n v="0"/>
    <n v="1"/>
    <n v="4"/>
  </r>
  <r>
    <n v="3330"/>
    <x v="99"/>
    <x v="0"/>
    <x v="98"/>
    <x v="1"/>
    <x v="0"/>
    <x v="0"/>
    <s v="Yes"/>
    <x v="0"/>
    <s v="Yes"/>
    <n v="20"/>
    <n v="15"/>
    <n v="50"/>
  </r>
  <r>
    <n v="3331"/>
    <x v="100"/>
    <x v="2"/>
    <x v="99"/>
    <x v="0"/>
    <x v="2"/>
    <x v="0"/>
    <s v="No"/>
    <x v="1"/>
    <s v="Yes"/>
    <n v="20"/>
    <n v="5"/>
    <n v="25"/>
  </r>
  <r>
    <n v="3332"/>
    <x v="101"/>
    <x v="1"/>
    <x v="100"/>
    <x v="1"/>
    <x v="1"/>
    <x v="1"/>
    <s v="No"/>
    <x v="1"/>
    <s v="No"/>
    <n v="0"/>
    <n v="0"/>
    <n v="5"/>
  </r>
  <r>
    <n v="3333"/>
    <x v="102"/>
    <x v="0"/>
    <x v="101"/>
    <x v="0"/>
    <x v="0"/>
    <x v="2"/>
    <s v="Yes"/>
    <x v="0"/>
    <s v="Yes"/>
    <n v="20"/>
    <n v="20"/>
    <n v="45"/>
  </r>
  <r>
    <n v="3334"/>
    <x v="103"/>
    <x v="2"/>
    <x v="102"/>
    <x v="1"/>
    <x v="2"/>
    <x v="2"/>
    <s v="No"/>
    <x v="1"/>
    <s v="Yes"/>
    <n v="20"/>
    <n v="12"/>
    <n v="18"/>
  </r>
  <r>
    <n v="3335"/>
    <x v="104"/>
    <x v="1"/>
    <x v="103"/>
    <x v="0"/>
    <x v="1"/>
    <x v="0"/>
    <s v="No"/>
    <x v="1"/>
    <s v="No"/>
    <n v="0"/>
    <n v="2"/>
    <n v="3"/>
  </r>
  <r>
    <n v="3336"/>
    <x v="105"/>
    <x v="1"/>
    <x v="104"/>
    <x v="0"/>
    <x v="1"/>
    <x v="0"/>
    <s v="No"/>
    <x v="1"/>
    <s v="No"/>
    <n v="0"/>
    <n v="0"/>
    <n v="5"/>
  </r>
  <r>
    <n v="3337"/>
    <x v="106"/>
    <x v="0"/>
    <x v="105"/>
    <x v="1"/>
    <x v="0"/>
    <x v="2"/>
    <s v="Yes"/>
    <x v="0"/>
    <s v="Yes"/>
    <n v="20"/>
    <n v="7"/>
    <n v="58"/>
  </r>
  <r>
    <n v="3338"/>
    <x v="107"/>
    <x v="2"/>
    <x v="106"/>
    <x v="0"/>
    <x v="2"/>
    <x v="1"/>
    <s v="No"/>
    <x v="1"/>
    <s v="Yes"/>
    <n v="20"/>
    <n v="10"/>
    <n v="20"/>
  </r>
  <r>
    <n v="3339"/>
    <x v="108"/>
    <x v="1"/>
    <x v="107"/>
    <x v="1"/>
    <x v="1"/>
    <x v="2"/>
    <s v="No"/>
    <x v="1"/>
    <s v="No"/>
    <n v="0"/>
    <n v="1"/>
    <n v="4"/>
  </r>
  <r>
    <n v="3340"/>
    <x v="109"/>
    <x v="0"/>
    <x v="108"/>
    <x v="0"/>
    <x v="0"/>
    <x v="0"/>
    <s v="Yes"/>
    <x v="0"/>
    <s v="Yes"/>
    <n v="20"/>
    <n v="15"/>
    <n v="50"/>
  </r>
  <r>
    <n v="3341"/>
    <x v="110"/>
    <x v="2"/>
    <x v="109"/>
    <x v="1"/>
    <x v="2"/>
    <x v="0"/>
    <s v="No"/>
    <x v="1"/>
    <s v="Yes"/>
    <n v="20"/>
    <n v="5"/>
    <n v="25"/>
  </r>
  <r>
    <n v="3342"/>
    <x v="111"/>
    <x v="1"/>
    <x v="110"/>
    <x v="0"/>
    <x v="1"/>
    <x v="1"/>
    <s v="No"/>
    <x v="1"/>
    <s v="No"/>
    <n v="0"/>
    <n v="0"/>
    <n v="5"/>
  </r>
  <r>
    <n v="3343"/>
    <x v="112"/>
    <x v="0"/>
    <x v="111"/>
    <x v="1"/>
    <x v="0"/>
    <x v="2"/>
    <s v="Yes"/>
    <x v="0"/>
    <s v="Yes"/>
    <n v="20"/>
    <n v="20"/>
    <n v="45"/>
  </r>
  <r>
    <n v="3344"/>
    <x v="113"/>
    <x v="2"/>
    <x v="112"/>
    <x v="0"/>
    <x v="2"/>
    <x v="2"/>
    <s v="No"/>
    <x v="1"/>
    <s v="Yes"/>
    <n v="20"/>
    <n v="12"/>
    <n v="18"/>
  </r>
  <r>
    <n v="3345"/>
    <x v="114"/>
    <x v="1"/>
    <x v="113"/>
    <x v="1"/>
    <x v="1"/>
    <x v="0"/>
    <s v="No"/>
    <x v="1"/>
    <s v="No"/>
    <n v="0"/>
    <n v="2"/>
    <n v="3"/>
  </r>
  <r>
    <n v="3346"/>
    <x v="115"/>
    <x v="0"/>
    <x v="114"/>
    <x v="0"/>
    <x v="0"/>
    <x v="1"/>
    <s v="Yes"/>
    <x v="0"/>
    <s v="Yes"/>
    <n v="20"/>
    <n v="5"/>
    <n v="60"/>
  </r>
  <r>
    <n v="3347"/>
    <x v="116"/>
    <x v="2"/>
    <x v="115"/>
    <x v="1"/>
    <x v="2"/>
    <x v="0"/>
    <s v="No"/>
    <x v="1"/>
    <s v="Yes"/>
    <n v="20"/>
    <n v="10"/>
    <n v="20"/>
  </r>
  <r>
    <n v="3348"/>
    <x v="117"/>
    <x v="1"/>
    <x v="116"/>
    <x v="0"/>
    <x v="1"/>
    <x v="2"/>
    <s v="No"/>
    <x v="1"/>
    <s v="No"/>
    <n v="0"/>
    <n v="0"/>
    <n v="5"/>
  </r>
  <r>
    <n v="3349"/>
    <x v="93"/>
    <x v="0"/>
    <x v="117"/>
    <x v="1"/>
    <x v="0"/>
    <x v="0"/>
    <s v="Yes"/>
    <x v="0"/>
    <s v="Yes"/>
    <n v="20"/>
    <n v="3"/>
    <n v="62"/>
  </r>
  <r>
    <n v="3350"/>
    <x v="118"/>
    <x v="2"/>
    <x v="118"/>
    <x v="0"/>
    <x v="2"/>
    <x v="1"/>
    <s v="No"/>
    <x v="1"/>
    <s v="Yes"/>
    <n v="20"/>
    <n v="15"/>
    <n v="15"/>
  </r>
  <r>
    <n v="3351"/>
    <x v="119"/>
    <x v="1"/>
    <x v="119"/>
    <x v="1"/>
    <x v="1"/>
    <x v="0"/>
    <s v="No"/>
    <x v="1"/>
    <s v="No"/>
    <n v="0"/>
    <n v="1"/>
    <n v="4"/>
  </r>
  <r>
    <n v="3352"/>
    <x v="120"/>
    <x v="0"/>
    <x v="120"/>
    <x v="0"/>
    <x v="0"/>
    <x v="2"/>
    <s v="Yes"/>
    <x v="0"/>
    <s v="Yes"/>
    <n v="20"/>
    <n v="7"/>
    <n v="58"/>
  </r>
  <r>
    <n v="3353"/>
    <x v="121"/>
    <x v="2"/>
    <x v="121"/>
    <x v="1"/>
    <x v="2"/>
    <x v="0"/>
    <s v="No"/>
    <x v="1"/>
    <s v="Yes"/>
    <n v="20"/>
    <n v="10"/>
    <n v="20"/>
  </r>
  <r>
    <n v="3354"/>
    <x v="122"/>
    <x v="1"/>
    <x v="122"/>
    <x v="0"/>
    <x v="1"/>
    <x v="1"/>
    <s v="No"/>
    <x v="1"/>
    <s v="No"/>
    <n v="0"/>
    <n v="0"/>
    <n v="5"/>
  </r>
  <r>
    <n v="3355"/>
    <x v="123"/>
    <x v="0"/>
    <x v="123"/>
    <x v="1"/>
    <x v="0"/>
    <x v="0"/>
    <s v="Yes"/>
    <x v="0"/>
    <s v="Yes"/>
    <n v="20"/>
    <n v="20"/>
    <n v="45"/>
  </r>
  <r>
    <n v="3356"/>
    <x v="124"/>
    <x v="2"/>
    <x v="124"/>
    <x v="0"/>
    <x v="2"/>
    <x v="2"/>
    <s v="No"/>
    <x v="1"/>
    <s v="Yes"/>
    <n v="20"/>
    <n v="15"/>
    <n v="15"/>
  </r>
  <r>
    <n v="3357"/>
    <x v="125"/>
    <x v="1"/>
    <x v="125"/>
    <x v="1"/>
    <x v="1"/>
    <x v="0"/>
    <s v="No"/>
    <x v="1"/>
    <s v="No"/>
    <n v="0"/>
    <n v="1"/>
    <n v="4"/>
  </r>
  <r>
    <n v="3358"/>
    <x v="126"/>
    <x v="0"/>
    <x v="126"/>
    <x v="0"/>
    <x v="0"/>
    <x v="1"/>
    <s v="Yes"/>
    <x v="0"/>
    <s v="Yes"/>
    <n v="20"/>
    <n v="3"/>
    <n v="62"/>
  </r>
  <r>
    <n v="3359"/>
    <x v="127"/>
    <x v="2"/>
    <x v="127"/>
    <x v="1"/>
    <x v="2"/>
    <x v="0"/>
    <s v="No"/>
    <x v="1"/>
    <s v="Yes"/>
    <n v="20"/>
    <n v="10"/>
    <n v="20"/>
  </r>
  <r>
    <n v="3360"/>
    <x v="128"/>
    <x v="1"/>
    <x v="128"/>
    <x v="0"/>
    <x v="1"/>
    <x v="2"/>
    <s v="No"/>
    <x v="1"/>
    <s v="No"/>
    <n v="0"/>
    <n v="0"/>
    <n v="5"/>
  </r>
  <r>
    <n v="3361"/>
    <x v="129"/>
    <x v="0"/>
    <x v="129"/>
    <x v="1"/>
    <x v="0"/>
    <x v="0"/>
    <s v="Yes"/>
    <x v="0"/>
    <s v="Yes"/>
    <n v="20"/>
    <n v="15"/>
    <n v="50"/>
  </r>
  <r>
    <n v="3362"/>
    <x v="130"/>
    <x v="2"/>
    <x v="130"/>
    <x v="0"/>
    <x v="2"/>
    <x v="1"/>
    <s v="No"/>
    <x v="1"/>
    <s v="Yes"/>
    <n v="20"/>
    <n v="15"/>
    <n v="15"/>
  </r>
  <r>
    <n v="3363"/>
    <x v="131"/>
    <x v="1"/>
    <x v="131"/>
    <x v="1"/>
    <x v="1"/>
    <x v="0"/>
    <s v="No"/>
    <x v="1"/>
    <s v="No"/>
    <n v="0"/>
    <n v="1"/>
    <n v="4"/>
  </r>
  <r>
    <n v="3364"/>
    <x v="132"/>
    <x v="0"/>
    <x v="132"/>
    <x v="0"/>
    <x v="0"/>
    <x v="2"/>
    <s v="Yes"/>
    <x v="0"/>
    <s v="Yes"/>
    <n v="20"/>
    <n v="7"/>
    <n v="58"/>
  </r>
  <r>
    <n v="3365"/>
    <x v="133"/>
    <x v="2"/>
    <x v="133"/>
    <x v="1"/>
    <x v="2"/>
    <x v="0"/>
    <s v="No"/>
    <x v="1"/>
    <s v="Yes"/>
    <n v="20"/>
    <n v="10"/>
    <n v="20"/>
  </r>
  <r>
    <n v="3366"/>
    <x v="134"/>
    <x v="1"/>
    <x v="134"/>
    <x v="0"/>
    <x v="1"/>
    <x v="0"/>
    <s v="No"/>
    <x v="1"/>
    <s v="No"/>
    <n v="0"/>
    <n v="0"/>
    <n v="5"/>
  </r>
  <r>
    <n v="3367"/>
    <x v="135"/>
    <x v="0"/>
    <x v="135"/>
    <x v="1"/>
    <x v="0"/>
    <x v="2"/>
    <s v="Yes"/>
    <x v="0"/>
    <s v="Yes"/>
    <n v="20"/>
    <n v="7"/>
    <n v="58"/>
  </r>
  <r>
    <n v="3368"/>
    <x v="136"/>
    <x v="2"/>
    <x v="136"/>
    <x v="0"/>
    <x v="2"/>
    <x v="1"/>
    <s v="No"/>
    <x v="1"/>
    <s v="Yes"/>
    <n v="20"/>
    <n v="10"/>
    <n v="20"/>
  </r>
  <r>
    <n v="3369"/>
    <x v="137"/>
    <x v="1"/>
    <x v="137"/>
    <x v="1"/>
    <x v="1"/>
    <x v="2"/>
    <s v="No"/>
    <x v="1"/>
    <s v="No"/>
    <n v="0"/>
    <n v="1"/>
    <n v="4"/>
  </r>
  <r>
    <n v="3370"/>
    <x v="138"/>
    <x v="0"/>
    <x v="138"/>
    <x v="0"/>
    <x v="0"/>
    <x v="0"/>
    <s v="Yes"/>
    <x v="0"/>
    <s v="Yes"/>
    <n v="20"/>
    <n v="15"/>
    <n v="50"/>
  </r>
  <r>
    <n v="3371"/>
    <x v="139"/>
    <x v="2"/>
    <x v="139"/>
    <x v="1"/>
    <x v="2"/>
    <x v="0"/>
    <s v="No"/>
    <x v="1"/>
    <s v="Yes"/>
    <n v="20"/>
    <n v="5"/>
    <n v="25"/>
  </r>
  <r>
    <n v="3372"/>
    <x v="140"/>
    <x v="1"/>
    <x v="140"/>
    <x v="0"/>
    <x v="1"/>
    <x v="1"/>
    <s v="No"/>
    <x v="1"/>
    <s v="No"/>
    <n v="0"/>
    <n v="0"/>
    <n v="5"/>
  </r>
  <r>
    <n v="3373"/>
    <x v="141"/>
    <x v="0"/>
    <x v="141"/>
    <x v="1"/>
    <x v="0"/>
    <x v="2"/>
    <s v="Yes"/>
    <x v="0"/>
    <s v="Yes"/>
    <n v="20"/>
    <n v="20"/>
    <n v="45"/>
  </r>
  <r>
    <n v="3374"/>
    <x v="142"/>
    <x v="2"/>
    <x v="142"/>
    <x v="0"/>
    <x v="2"/>
    <x v="2"/>
    <s v="No"/>
    <x v="1"/>
    <s v="Yes"/>
    <n v="20"/>
    <n v="12"/>
    <n v="18"/>
  </r>
  <r>
    <n v="3375"/>
    <x v="143"/>
    <x v="1"/>
    <x v="143"/>
    <x v="1"/>
    <x v="1"/>
    <x v="0"/>
    <s v="No"/>
    <x v="1"/>
    <s v="No"/>
    <n v="0"/>
    <n v="2"/>
    <n v="3"/>
  </r>
  <r>
    <n v="3376"/>
    <x v="144"/>
    <x v="0"/>
    <x v="144"/>
    <x v="0"/>
    <x v="0"/>
    <x v="1"/>
    <s v="Yes"/>
    <x v="0"/>
    <s v="Yes"/>
    <n v="20"/>
    <n v="5"/>
    <n v="60"/>
  </r>
  <r>
    <n v="3377"/>
    <x v="145"/>
    <x v="2"/>
    <x v="145"/>
    <x v="1"/>
    <x v="2"/>
    <x v="0"/>
    <s v="No"/>
    <x v="1"/>
    <s v="Yes"/>
    <n v="20"/>
    <n v="10"/>
    <n v="20"/>
  </r>
  <r>
    <n v="3378"/>
    <x v="146"/>
    <x v="1"/>
    <x v="146"/>
    <x v="0"/>
    <x v="1"/>
    <x v="2"/>
    <s v="No"/>
    <x v="1"/>
    <s v="No"/>
    <n v="0"/>
    <n v="0"/>
    <n v="5"/>
  </r>
  <r>
    <n v="3379"/>
    <x v="147"/>
    <x v="0"/>
    <x v="147"/>
    <x v="1"/>
    <x v="0"/>
    <x v="0"/>
    <s v="Yes"/>
    <x v="0"/>
    <s v="Yes"/>
    <n v="20"/>
    <n v="3"/>
    <n v="62"/>
  </r>
  <r>
    <n v="3380"/>
    <x v="148"/>
    <x v="2"/>
    <x v="148"/>
    <x v="0"/>
    <x v="2"/>
    <x v="1"/>
    <s v="No"/>
    <x v="1"/>
    <s v="Yes"/>
    <n v="20"/>
    <n v="15"/>
    <n v="15"/>
  </r>
  <r>
    <n v="3381"/>
    <x v="149"/>
    <x v="1"/>
    <x v="149"/>
    <x v="1"/>
    <x v="1"/>
    <x v="0"/>
    <s v="No"/>
    <x v="1"/>
    <s v="No"/>
    <n v="0"/>
    <n v="1"/>
    <n v="4"/>
  </r>
  <r>
    <n v="3382"/>
    <x v="150"/>
    <x v="0"/>
    <x v="150"/>
    <x v="0"/>
    <x v="0"/>
    <x v="2"/>
    <s v="Yes"/>
    <x v="0"/>
    <s v="Yes"/>
    <n v="20"/>
    <n v="7"/>
    <n v="58"/>
  </r>
  <r>
    <n v="3383"/>
    <x v="151"/>
    <x v="2"/>
    <x v="151"/>
    <x v="1"/>
    <x v="2"/>
    <x v="0"/>
    <s v="No"/>
    <x v="1"/>
    <s v="Yes"/>
    <n v="20"/>
    <n v="10"/>
    <n v="20"/>
  </r>
  <r>
    <n v="3384"/>
    <x v="152"/>
    <x v="1"/>
    <x v="152"/>
    <x v="0"/>
    <x v="1"/>
    <x v="1"/>
    <s v="No"/>
    <x v="1"/>
    <s v="No"/>
    <n v="0"/>
    <n v="0"/>
    <n v="5"/>
  </r>
  <r>
    <n v="3385"/>
    <x v="153"/>
    <x v="0"/>
    <x v="153"/>
    <x v="1"/>
    <x v="0"/>
    <x v="0"/>
    <s v="Yes"/>
    <x v="0"/>
    <s v="Yes"/>
    <n v="20"/>
    <n v="20"/>
    <n v="45"/>
  </r>
  <r>
    <n v="3386"/>
    <x v="154"/>
    <x v="2"/>
    <x v="154"/>
    <x v="0"/>
    <x v="2"/>
    <x v="2"/>
    <s v="No"/>
    <x v="1"/>
    <s v="Yes"/>
    <n v="20"/>
    <n v="15"/>
    <n v="15"/>
  </r>
  <r>
    <n v="3387"/>
    <x v="155"/>
    <x v="1"/>
    <x v="155"/>
    <x v="1"/>
    <x v="1"/>
    <x v="0"/>
    <s v="No"/>
    <x v="1"/>
    <s v="No"/>
    <n v="0"/>
    <n v="1"/>
    <n v="4"/>
  </r>
  <r>
    <n v="3388"/>
    <x v="156"/>
    <x v="0"/>
    <x v="156"/>
    <x v="0"/>
    <x v="0"/>
    <x v="1"/>
    <s v="Yes"/>
    <x v="0"/>
    <s v="Yes"/>
    <n v="20"/>
    <n v="3"/>
    <n v="62"/>
  </r>
  <r>
    <n v="3389"/>
    <x v="157"/>
    <x v="2"/>
    <x v="157"/>
    <x v="1"/>
    <x v="2"/>
    <x v="0"/>
    <s v="No"/>
    <x v="1"/>
    <s v="Yes"/>
    <n v="20"/>
    <n v="10"/>
    <n v="20"/>
  </r>
  <r>
    <n v="3390"/>
    <x v="158"/>
    <x v="1"/>
    <x v="158"/>
    <x v="0"/>
    <x v="1"/>
    <x v="2"/>
    <s v="No"/>
    <x v="1"/>
    <s v="No"/>
    <n v="0"/>
    <n v="0"/>
    <n v="5"/>
  </r>
  <r>
    <n v="3391"/>
    <x v="58"/>
    <x v="0"/>
    <x v="159"/>
    <x v="1"/>
    <x v="0"/>
    <x v="0"/>
    <s v="Yes"/>
    <x v="0"/>
    <s v="Yes"/>
    <n v="20"/>
    <n v="15"/>
    <n v="50"/>
  </r>
  <r>
    <n v="3392"/>
    <x v="159"/>
    <x v="2"/>
    <x v="160"/>
    <x v="0"/>
    <x v="2"/>
    <x v="1"/>
    <s v="No"/>
    <x v="1"/>
    <s v="Yes"/>
    <n v="20"/>
    <n v="15"/>
    <n v="15"/>
  </r>
  <r>
    <n v="3393"/>
    <x v="160"/>
    <x v="1"/>
    <x v="161"/>
    <x v="1"/>
    <x v="1"/>
    <x v="0"/>
    <s v="No"/>
    <x v="1"/>
    <s v="No"/>
    <n v="0"/>
    <n v="1"/>
    <n v="4"/>
  </r>
  <r>
    <n v="3394"/>
    <x v="161"/>
    <x v="0"/>
    <x v="162"/>
    <x v="0"/>
    <x v="0"/>
    <x v="2"/>
    <s v="Yes"/>
    <x v="0"/>
    <s v="Yes"/>
    <n v="20"/>
    <n v="7"/>
    <n v="58"/>
  </r>
  <r>
    <n v="3395"/>
    <x v="162"/>
    <x v="2"/>
    <x v="163"/>
    <x v="1"/>
    <x v="2"/>
    <x v="0"/>
    <s v="No"/>
    <x v="1"/>
    <s v="Yes"/>
    <n v="20"/>
    <n v="10"/>
    <n v="20"/>
  </r>
  <r>
    <n v="3396"/>
    <x v="163"/>
    <x v="1"/>
    <x v="164"/>
    <x v="0"/>
    <x v="1"/>
    <x v="1"/>
    <s v="No"/>
    <x v="1"/>
    <s v="No"/>
    <n v="0"/>
    <n v="0"/>
    <n v="5"/>
  </r>
  <r>
    <n v="3397"/>
    <x v="90"/>
    <x v="0"/>
    <x v="165"/>
    <x v="1"/>
    <x v="0"/>
    <x v="0"/>
    <s v="Yes"/>
    <x v="0"/>
    <s v="Yes"/>
    <n v="20"/>
    <n v="20"/>
    <n v="45"/>
  </r>
  <r>
    <n v="3398"/>
    <x v="164"/>
    <x v="2"/>
    <x v="166"/>
    <x v="0"/>
    <x v="2"/>
    <x v="2"/>
    <s v="No"/>
    <x v="1"/>
    <s v="Yes"/>
    <n v="20"/>
    <n v="15"/>
    <n v="15"/>
  </r>
  <r>
    <n v="3399"/>
    <x v="165"/>
    <x v="1"/>
    <x v="167"/>
    <x v="1"/>
    <x v="1"/>
    <x v="0"/>
    <s v="No"/>
    <x v="1"/>
    <s v="No"/>
    <n v="0"/>
    <n v="1"/>
    <n v="4"/>
  </r>
  <r>
    <n v="3400"/>
    <x v="166"/>
    <x v="0"/>
    <x v="168"/>
    <x v="0"/>
    <x v="0"/>
    <x v="1"/>
    <s v="Yes"/>
    <x v="0"/>
    <s v="Yes"/>
    <n v="20"/>
    <n v="5"/>
    <n v="60"/>
  </r>
  <r>
    <n v="3401"/>
    <x v="167"/>
    <x v="2"/>
    <x v="169"/>
    <x v="1"/>
    <x v="2"/>
    <x v="0"/>
    <s v="No"/>
    <x v="1"/>
    <s v="Yes"/>
    <n v="20"/>
    <n v="10"/>
    <n v="20"/>
  </r>
  <r>
    <n v="3402"/>
    <x v="168"/>
    <x v="1"/>
    <x v="170"/>
    <x v="0"/>
    <x v="1"/>
    <x v="2"/>
    <s v="No"/>
    <x v="1"/>
    <s v="No"/>
    <n v="0"/>
    <n v="0"/>
    <n v="5"/>
  </r>
  <r>
    <n v="3403"/>
    <x v="169"/>
    <x v="0"/>
    <x v="171"/>
    <x v="1"/>
    <x v="0"/>
    <x v="0"/>
    <s v="Yes"/>
    <x v="0"/>
    <s v="Yes"/>
    <n v="20"/>
    <n v="3"/>
    <n v="62"/>
  </r>
  <r>
    <n v="3404"/>
    <x v="170"/>
    <x v="2"/>
    <x v="172"/>
    <x v="0"/>
    <x v="2"/>
    <x v="1"/>
    <s v="No"/>
    <x v="1"/>
    <s v="Yes"/>
    <n v="20"/>
    <n v="15"/>
    <n v="15"/>
  </r>
  <r>
    <n v="3405"/>
    <x v="171"/>
    <x v="1"/>
    <x v="173"/>
    <x v="1"/>
    <x v="1"/>
    <x v="0"/>
    <s v="No"/>
    <x v="1"/>
    <s v="No"/>
    <n v="0"/>
    <n v="1"/>
    <n v="4"/>
  </r>
  <r>
    <n v="3406"/>
    <x v="172"/>
    <x v="1"/>
    <x v="174"/>
    <x v="0"/>
    <x v="1"/>
    <x v="0"/>
    <s v="No"/>
    <x v="1"/>
    <s v="No"/>
    <n v="0"/>
    <n v="0"/>
    <n v="5"/>
  </r>
  <r>
    <n v="3407"/>
    <x v="173"/>
    <x v="0"/>
    <x v="175"/>
    <x v="1"/>
    <x v="0"/>
    <x v="2"/>
    <s v="Yes"/>
    <x v="0"/>
    <s v="Yes"/>
    <n v="20"/>
    <n v="7"/>
    <n v="58"/>
  </r>
  <r>
    <n v="3408"/>
    <x v="174"/>
    <x v="2"/>
    <x v="176"/>
    <x v="0"/>
    <x v="2"/>
    <x v="1"/>
    <s v="No"/>
    <x v="1"/>
    <s v="Yes"/>
    <n v="20"/>
    <n v="10"/>
    <n v="20"/>
  </r>
  <r>
    <n v="3409"/>
    <x v="175"/>
    <x v="1"/>
    <x v="177"/>
    <x v="1"/>
    <x v="1"/>
    <x v="2"/>
    <s v="No"/>
    <x v="1"/>
    <s v="No"/>
    <n v="0"/>
    <n v="1"/>
    <n v="4"/>
  </r>
  <r>
    <n v="3410"/>
    <x v="176"/>
    <x v="0"/>
    <x v="178"/>
    <x v="0"/>
    <x v="0"/>
    <x v="0"/>
    <s v="Yes"/>
    <x v="0"/>
    <s v="Yes"/>
    <n v="20"/>
    <n v="15"/>
    <n v="50"/>
  </r>
  <r>
    <n v="3411"/>
    <x v="177"/>
    <x v="2"/>
    <x v="179"/>
    <x v="1"/>
    <x v="2"/>
    <x v="0"/>
    <s v="No"/>
    <x v="1"/>
    <s v="Yes"/>
    <n v="20"/>
    <n v="5"/>
    <n v="25"/>
  </r>
  <r>
    <n v="3412"/>
    <x v="178"/>
    <x v="1"/>
    <x v="180"/>
    <x v="0"/>
    <x v="1"/>
    <x v="1"/>
    <s v="No"/>
    <x v="1"/>
    <s v="No"/>
    <n v="0"/>
    <n v="0"/>
    <n v="5"/>
  </r>
  <r>
    <n v="3413"/>
    <x v="179"/>
    <x v="0"/>
    <x v="181"/>
    <x v="1"/>
    <x v="0"/>
    <x v="2"/>
    <s v="Yes"/>
    <x v="0"/>
    <s v="Yes"/>
    <n v="20"/>
    <n v="20"/>
    <n v="45"/>
  </r>
  <r>
    <n v="3414"/>
    <x v="180"/>
    <x v="2"/>
    <x v="182"/>
    <x v="0"/>
    <x v="2"/>
    <x v="2"/>
    <s v="No"/>
    <x v="1"/>
    <s v="Yes"/>
    <n v="20"/>
    <n v="12"/>
    <n v="18"/>
  </r>
  <r>
    <n v="3415"/>
    <x v="181"/>
    <x v="1"/>
    <x v="183"/>
    <x v="1"/>
    <x v="1"/>
    <x v="0"/>
    <s v="No"/>
    <x v="1"/>
    <s v="No"/>
    <n v="0"/>
    <n v="2"/>
    <n v="3"/>
  </r>
  <r>
    <n v="3416"/>
    <x v="182"/>
    <x v="0"/>
    <x v="184"/>
    <x v="0"/>
    <x v="0"/>
    <x v="1"/>
    <s v="Yes"/>
    <x v="0"/>
    <s v="Yes"/>
    <n v="20"/>
    <n v="5"/>
    <n v="60"/>
  </r>
  <r>
    <n v="3417"/>
    <x v="183"/>
    <x v="2"/>
    <x v="185"/>
    <x v="1"/>
    <x v="2"/>
    <x v="0"/>
    <s v="No"/>
    <x v="1"/>
    <s v="Yes"/>
    <n v="20"/>
    <n v="10"/>
    <n v="20"/>
  </r>
  <r>
    <n v="3418"/>
    <x v="184"/>
    <x v="1"/>
    <x v="186"/>
    <x v="0"/>
    <x v="1"/>
    <x v="2"/>
    <s v="No"/>
    <x v="1"/>
    <s v="No"/>
    <n v="0"/>
    <n v="0"/>
    <n v="5"/>
  </r>
  <r>
    <n v="3419"/>
    <x v="185"/>
    <x v="0"/>
    <x v="187"/>
    <x v="1"/>
    <x v="0"/>
    <x v="0"/>
    <s v="Yes"/>
    <x v="0"/>
    <s v="Yes"/>
    <n v="20"/>
    <n v="3"/>
    <n v="62"/>
  </r>
  <r>
    <n v="3420"/>
    <x v="186"/>
    <x v="2"/>
    <x v="188"/>
    <x v="0"/>
    <x v="2"/>
    <x v="1"/>
    <s v="No"/>
    <x v="1"/>
    <s v="Yes"/>
    <n v="20"/>
    <n v="15"/>
    <n v="15"/>
  </r>
  <r>
    <n v="3421"/>
    <x v="15"/>
    <x v="1"/>
    <x v="189"/>
    <x v="1"/>
    <x v="1"/>
    <x v="0"/>
    <s v="No"/>
    <x v="1"/>
    <s v="No"/>
    <n v="0"/>
    <n v="1"/>
    <n v="4"/>
  </r>
  <r>
    <n v="3422"/>
    <x v="187"/>
    <x v="0"/>
    <x v="190"/>
    <x v="0"/>
    <x v="0"/>
    <x v="2"/>
    <s v="Yes"/>
    <x v="0"/>
    <s v="Yes"/>
    <n v="20"/>
    <n v="7"/>
    <n v="58"/>
  </r>
  <r>
    <n v="3423"/>
    <x v="188"/>
    <x v="2"/>
    <x v="191"/>
    <x v="1"/>
    <x v="2"/>
    <x v="0"/>
    <s v="No"/>
    <x v="1"/>
    <s v="Yes"/>
    <n v="20"/>
    <n v="10"/>
    <n v="20"/>
  </r>
  <r>
    <n v="3424"/>
    <x v="14"/>
    <x v="1"/>
    <x v="192"/>
    <x v="0"/>
    <x v="1"/>
    <x v="1"/>
    <s v="No"/>
    <x v="1"/>
    <s v="No"/>
    <n v="0"/>
    <n v="0"/>
    <n v="5"/>
  </r>
  <r>
    <n v="3425"/>
    <x v="189"/>
    <x v="0"/>
    <x v="193"/>
    <x v="1"/>
    <x v="0"/>
    <x v="0"/>
    <s v="Yes"/>
    <x v="0"/>
    <s v="Yes"/>
    <n v="20"/>
    <n v="20"/>
    <n v="45"/>
  </r>
  <r>
    <n v="3426"/>
    <x v="167"/>
    <x v="2"/>
    <x v="194"/>
    <x v="0"/>
    <x v="2"/>
    <x v="2"/>
    <s v="No"/>
    <x v="1"/>
    <s v="Yes"/>
    <n v="20"/>
    <n v="15"/>
    <n v="15"/>
  </r>
  <r>
    <n v="3427"/>
    <x v="190"/>
    <x v="1"/>
    <x v="195"/>
    <x v="1"/>
    <x v="1"/>
    <x v="0"/>
    <s v="No"/>
    <x v="1"/>
    <s v="No"/>
    <n v="0"/>
    <n v="1"/>
    <n v="4"/>
  </r>
  <r>
    <n v="3428"/>
    <x v="191"/>
    <x v="0"/>
    <x v="196"/>
    <x v="0"/>
    <x v="0"/>
    <x v="1"/>
    <s v="Yes"/>
    <x v="0"/>
    <s v="Yes"/>
    <n v="20"/>
    <n v="3"/>
    <n v="62"/>
  </r>
  <r>
    <n v="3429"/>
    <x v="192"/>
    <x v="2"/>
    <x v="197"/>
    <x v="1"/>
    <x v="2"/>
    <x v="0"/>
    <s v="No"/>
    <x v="1"/>
    <s v="Yes"/>
    <n v="20"/>
    <n v="10"/>
    <n v="20"/>
  </r>
  <r>
    <n v="3430"/>
    <x v="193"/>
    <x v="1"/>
    <x v="198"/>
    <x v="0"/>
    <x v="1"/>
    <x v="2"/>
    <s v="No"/>
    <x v="1"/>
    <s v="No"/>
    <n v="0"/>
    <n v="0"/>
    <n v="5"/>
  </r>
  <r>
    <n v="3431"/>
    <x v="194"/>
    <x v="0"/>
    <x v="199"/>
    <x v="1"/>
    <x v="0"/>
    <x v="0"/>
    <s v="Yes"/>
    <x v="0"/>
    <s v="Yes"/>
    <n v="20"/>
    <n v="15"/>
    <n v="50"/>
  </r>
  <r>
    <n v="3432"/>
    <x v="195"/>
    <x v="2"/>
    <x v="200"/>
    <x v="0"/>
    <x v="2"/>
    <x v="1"/>
    <s v="No"/>
    <x v="1"/>
    <s v="Yes"/>
    <n v="20"/>
    <n v="15"/>
    <n v="15"/>
  </r>
  <r>
    <n v="3433"/>
    <x v="196"/>
    <x v="1"/>
    <x v="201"/>
    <x v="1"/>
    <x v="1"/>
    <x v="0"/>
    <s v="No"/>
    <x v="1"/>
    <s v="No"/>
    <n v="0"/>
    <n v="1"/>
    <n v="4"/>
  </r>
  <r>
    <n v="3434"/>
    <x v="197"/>
    <x v="0"/>
    <x v="202"/>
    <x v="0"/>
    <x v="0"/>
    <x v="2"/>
    <s v="Yes"/>
    <x v="0"/>
    <s v="Yes"/>
    <n v="20"/>
    <n v="7"/>
    <n v="58"/>
  </r>
  <r>
    <n v="3435"/>
    <x v="198"/>
    <x v="2"/>
    <x v="203"/>
    <x v="1"/>
    <x v="2"/>
    <x v="0"/>
    <s v="No"/>
    <x v="1"/>
    <s v="Yes"/>
    <n v="20"/>
    <n v="10"/>
    <n v="20"/>
  </r>
  <r>
    <n v="3436"/>
    <x v="199"/>
    <x v="1"/>
    <x v="204"/>
    <x v="0"/>
    <x v="1"/>
    <x v="0"/>
    <s v="No"/>
    <x v="1"/>
    <s v="No"/>
    <n v="0"/>
    <n v="0"/>
    <n v="5"/>
  </r>
  <r>
    <n v="3437"/>
    <x v="200"/>
    <x v="0"/>
    <x v="205"/>
    <x v="1"/>
    <x v="0"/>
    <x v="2"/>
    <s v="Yes"/>
    <x v="0"/>
    <s v="Yes"/>
    <n v="20"/>
    <n v="7"/>
    <n v="58"/>
  </r>
  <r>
    <n v="3438"/>
    <x v="201"/>
    <x v="2"/>
    <x v="206"/>
    <x v="0"/>
    <x v="2"/>
    <x v="1"/>
    <s v="No"/>
    <x v="1"/>
    <s v="Yes"/>
    <n v="20"/>
    <n v="10"/>
    <n v="20"/>
  </r>
  <r>
    <n v="3439"/>
    <x v="202"/>
    <x v="1"/>
    <x v="207"/>
    <x v="1"/>
    <x v="1"/>
    <x v="2"/>
    <s v="No"/>
    <x v="1"/>
    <s v="No"/>
    <n v="0"/>
    <n v="1"/>
    <n v="4"/>
  </r>
  <r>
    <n v="3440"/>
    <x v="203"/>
    <x v="0"/>
    <x v="208"/>
    <x v="0"/>
    <x v="0"/>
    <x v="0"/>
    <s v="Yes"/>
    <x v="0"/>
    <s v="Yes"/>
    <n v="20"/>
    <n v="15"/>
    <n v="50"/>
  </r>
  <r>
    <n v="3441"/>
    <x v="204"/>
    <x v="2"/>
    <x v="209"/>
    <x v="1"/>
    <x v="2"/>
    <x v="0"/>
    <s v="No"/>
    <x v="1"/>
    <s v="Yes"/>
    <n v="20"/>
    <n v="5"/>
    <n v="25"/>
  </r>
  <r>
    <n v="3442"/>
    <x v="205"/>
    <x v="1"/>
    <x v="210"/>
    <x v="0"/>
    <x v="1"/>
    <x v="1"/>
    <s v="No"/>
    <x v="1"/>
    <s v="No"/>
    <n v="0"/>
    <n v="0"/>
    <n v="5"/>
  </r>
  <r>
    <n v="3443"/>
    <x v="206"/>
    <x v="0"/>
    <x v="211"/>
    <x v="1"/>
    <x v="0"/>
    <x v="2"/>
    <s v="Yes"/>
    <x v="0"/>
    <s v="Yes"/>
    <n v="20"/>
    <n v="20"/>
    <n v="45"/>
  </r>
  <r>
    <n v="3444"/>
    <x v="207"/>
    <x v="2"/>
    <x v="212"/>
    <x v="0"/>
    <x v="2"/>
    <x v="2"/>
    <s v="No"/>
    <x v="1"/>
    <s v="Yes"/>
    <n v="20"/>
    <n v="12"/>
    <n v="18"/>
  </r>
  <r>
    <n v="3445"/>
    <x v="37"/>
    <x v="1"/>
    <x v="213"/>
    <x v="1"/>
    <x v="1"/>
    <x v="0"/>
    <s v="No"/>
    <x v="1"/>
    <s v="No"/>
    <n v="0"/>
    <n v="2"/>
    <n v="3"/>
  </r>
  <r>
    <n v="3446"/>
    <x v="208"/>
    <x v="0"/>
    <x v="214"/>
    <x v="0"/>
    <x v="0"/>
    <x v="1"/>
    <s v="Yes"/>
    <x v="0"/>
    <s v="Yes"/>
    <n v="20"/>
    <n v="5"/>
    <n v="60"/>
  </r>
  <r>
    <n v="3447"/>
    <x v="209"/>
    <x v="2"/>
    <x v="215"/>
    <x v="1"/>
    <x v="2"/>
    <x v="0"/>
    <s v="No"/>
    <x v="1"/>
    <s v="Yes"/>
    <n v="20"/>
    <n v="10"/>
    <n v="20"/>
  </r>
  <r>
    <n v="3448"/>
    <x v="210"/>
    <x v="1"/>
    <x v="216"/>
    <x v="0"/>
    <x v="1"/>
    <x v="2"/>
    <s v="No"/>
    <x v="1"/>
    <s v="No"/>
    <n v="0"/>
    <n v="0"/>
    <n v="5"/>
  </r>
  <r>
    <n v="3449"/>
    <x v="211"/>
    <x v="0"/>
    <x v="217"/>
    <x v="1"/>
    <x v="0"/>
    <x v="0"/>
    <s v="Yes"/>
    <x v="0"/>
    <s v="Yes"/>
    <n v="20"/>
    <n v="3"/>
    <n v="62"/>
  </r>
  <r>
    <n v="3450"/>
    <x v="212"/>
    <x v="2"/>
    <x v="218"/>
    <x v="0"/>
    <x v="2"/>
    <x v="1"/>
    <s v="No"/>
    <x v="1"/>
    <s v="Yes"/>
    <n v="20"/>
    <n v="15"/>
    <n v="15"/>
  </r>
  <r>
    <n v="3451"/>
    <x v="213"/>
    <x v="1"/>
    <x v="219"/>
    <x v="1"/>
    <x v="1"/>
    <x v="0"/>
    <s v="No"/>
    <x v="1"/>
    <s v="No"/>
    <n v="0"/>
    <n v="1"/>
    <n v="4"/>
  </r>
  <r>
    <n v="3452"/>
    <x v="191"/>
    <x v="0"/>
    <x v="220"/>
    <x v="0"/>
    <x v="0"/>
    <x v="2"/>
    <s v="Yes"/>
    <x v="0"/>
    <s v="Yes"/>
    <n v="20"/>
    <n v="7"/>
    <n v="58"/>
  </r>
  <r>
    <n v="3453"/>
    <x v="45"/>
    <x v="2"/>
    <x v="221"/>
    <x v="1"/>
    <x v="2"/>
    <x v="0"/>
    <s v="No"/>
    <x v="1"/>
    <s v="Yes"/>
    <n v="20"/>
    <n v="10"/>
    <n v="20"/>
  </r>
  <r>
    <n v="3454"/>
    <x v="214"/>
    <x v="1"/>
    <x v="222"/>
    <x v="0"/>
    <x v="1"/>
    <x v="1"/>
    <s v="No"/>
    <x v="1"/>
    <s v="No"/>
    <n v="0"/>
    <n v="0"/>
    <n v="5"/>
  </r>
  <r>
    <n v="3455"/>
    <x v="215"/>
    <x v="0"/>
    <x v="223"/>
    <x v="1"/>
    <x v="0"/>
    <x v="0"/>
    <s v="Yes"/>
    <x v="0"/>
    <s v="Yes"/>
    <n v="20"/>
    <n v="20"/>
    <n v="45"/>
  </r>
  <r>
    <n v="3456"/>
    <x v="216"/>
    <x v="2"/>
    <x v="224"/>
    <x v="0"/>
    <x v="2"/>
    <x v="2"/>
    <s v="No"/>
    <x v="1"/>
    <s v="Yes"/>
    <n v="20"/>
    <n v="15"/>
    <n v="15"/>
  </r>
  <r>
    <n v="3457"/>
    <x v="217"/>
    <x v="1"/>
    <x v="225"/>
    <x v="1"/>
    <x v="1"/>
    <x v="0"/>
    <s v="No"/>
    <x v="1"/>
    <s v="No"/>
    <n v="0"/>
    <n v="1"/>
    <n v="4"/>
  </r>
  <r>
    <n v="3458"/>
    <x v="218"/>
    <x v="0"/>
    <x v="226"/>
    <x v="0"/>
    <x v="0"/>
    <x v="1"/>
    <s v="Yes"/>
    <x v="0"/>
    <s v="Yes"/>
    <n v="20"/>
    <n v="3"/>
    <n v="62"/>
  </r>
  <r>
    <n v="3459"/>
    <x v="219"/>
    <x v="2"/>
    <x v="227"/>
    <x v="1"/>
    <x v="2"/>
    <x v="0"/>
    <s v="No"/>
    <x v="1"/>
    <s v="Yes"/>
    <n v="20"/>
    <n v="10"/>
    <n v="20"/>
  </r>
  <r>
    <n v="3460"/>
    <x v="127"/>
    <x v="1"/>
    <x v="228"/>
    <x v="0"/>
    <x v="1"/>
    <x v="2"/>
    <s v="No"/>
    <x v="1"/>
    <s v="No"/>
    <n v="0"/>
    <n v="0"/>
    <n v="5"/>
  </r>
  <r>
    <n v="3461"/>
    <x v="220"/>
    <x v="0"/>
    <x v="229"/>
    <x v="1"/>
    <x v="0"/>
    <x v="0"/>
    <s v="Yes"/>
    <x v="0"/>
    <s v="Yes"/>
    <n v="20"/>
    <n v="15"/>
    <n v="50"/>
  </r>
  <r>
    <n v="3462"/>
    <x v="221"/>
    <x v="2"/>
    <x v="230"/>
    <x v="0"/>
    <x v="2"/>
    <x v="1"/>
    <s v="No"/>
    <x v="1"/>
    <s v="Yes"/>
    <n v="20"/>
    <n v="15"/>
    <n v="15"/>
  </r>
  <r>
    <n v="3463"/>
    <x v="222"/>
    <x v="1"/>
    <x v="231"/>
    <x v="1"/>
    <x v="1"/>
    <x v="0"/>
    <s v="No"/>
    <x v="1"/>
    <s v="No"/>
    <n v="0"/>
    <n v="1"/>
    <n v="4"/>
  </r>
  <r>
    <n v="3464"/>
    <x v="223"/>
    <x v="0"/>
    <x v="232"/>
    <x v="0"/>
    <x v="0"/>
    <x v="2"/>
    <s v="Yes"/>
    <x v="0"/>
    <s v="Yes"/>
    <n v="20"/>
    <n v="7"/>
    <n v="58"/>
  </r>
  <r>
    <n v="3465"/>
    <x v="224"/>
    <x v="2"/>
    <x v="233"/>
    <x v="1"/>
    <x v="2"/>
    <x v="0"/>
    <s v="No"/>
    <x v="1"/>
    <s v="Yes"/>
    <n v="20"/>
    <n v="10"/>
    <n v="20"/>
  </r>
  <r>
    <n v="3466"/>
    <x v="225"/>
    <x v="1"/>
    <x v="234"/>
    <x v="0"/>
    <x v="1"/>
    <x v="1"/>
    <s v="No"/>
    <x v="1"/>
    <s v="No"/>
    <n v="0"/>
    <n v="0"/>
    <n v="5"/>
  </r>
  <r>
    <n v="3467"/>
    <x v="226"/>
    <x v="0"/>
    <x v="235"/>
    <x v="1"/>
    <x v="0"/>
    <x v="0"/>
    <s v="Yes"/>
    <x v="0"/>
    <s v="Yes"/>
    <n v="20"/>
    <n v="15"/>
    <n v="50"/>
  </r>
  <r>
    <n v="3468"/>
    <x v="227"/>
    <x v="2"/>
    <x v="236"/>
    <x v="0"/>
    <x v="2"/>
    <x v="2"/>
    <s v="No"/>
    <x v="1"/>
    <s v="Yes"/>
    <n v="20"/>
    <n v="12"/>
    <n v="18"/>
  </r>
  <r>
    <n v="3469"/>
    <x v="228"/>
    <x v="1"/>
    <x v="237"/>
    <x v="1"/>
    <x v="1"/>
    <x v="0"/>
    <s v="No"/>
    <x v="1"/>
    <s v="No"/>
    <n v="0"/>
    <n v="2"/>
    <n v="3"/>
  </r>
  <r>
    <n v="3470"/>
    <x v="229"/>
    <x v="0"/>
    <x v="238"/>
    <x v="0"/>
    <x v="0"/>
    <x v="1"/>
    <s v="Yes"/>
    <x v="0"/>
    <s v="Yes"/>
    <n v="20"/>
    <n v="5"/>
    <n v="60"/>
  </r>
  <r>
    <n v="3471"/>
    <x v="230"/>
    <x v="2"/>
    <x v="239"/>
    <x v="1"/>
    <x v="2"/>
    <x v="0"/>
    <s v="No"/>
    <x v="1"/>
    <s v="Yes"/>
    <n v="20"/>
    <n v="10"/>
    <n v="20"/>
  </r>
  <r>
    <n v="3472"/>
    <x v="231"/>
    <x v="1"/>
    <x v="240"/>
    <x v="0"/>
    <x v="1"/>
    <x v="2"/>
    <s v="No"/>
    <x v="1"/>
    <s v="No"/>
    <n v="0"/>
    <n v="0"/>
    <n v="5"/>
  </r>
  <r>
    <n v="3473"/>
    <x v="140"/>
    <x v="0"/>
    <x v="241"/>
    <x v="1"/>
    <x v="0"/>
    <x v="0"/>
    <s v="Yes"/>
    <x v="0"/>
    <s v="Yes"/>
    <n v="20"/>
    <n v="3"/>
    <n v="62"/>
  </r>
  <r>
    <n v="3474"/>
    <x v="232"/>
    <x v="2"/>
    <x v="242"/>
    <x v="0"/>
    <x v="2"/>
    <x v="1"/>
    <s v="No"/>
    <x v="1"/>
    <s v="Yes"/>
    <n v="20"/>
    <n v="15"/>
    <n v="15"/>
  </r>
  <r>
    <n v="3475"/>
    <x v="233"/>
    <x v="1"/>
    <x v="243"/>
    <x v="1"/>
    <x v="1"/>
    <x v="0"/>
    <s v="No"/>
    <x v="1"/>
    <s v="No"/>
    <n v="0"/>
    <n v="1"/>
    <n v="4"/>
  </r>
  <r>
    <n v="3476"/>
    <x v="234"/>
    <x v="0"/>
    <x v="244"/>
    <x v="0"/>
    <x v="0"/>
    <x v="2"/>
    <s v="Yes"/>
    <x v="0"/>
    <s v="Yes"/>
    <n v="20"/>
    <n v="7"/>
    <n v="58"/>
  </r>
  <r>
    <n v="3477"/>
    <x v="235"/>
    <x v="2"/>
    <x v="245"/>
    <x v="1"/>
    <x v="2"/>
    <x v="0"/>
    <s v="No"/>
    <x v="1"/>
    <s v="Yes"/>
    <n v="20"/>
    <n v="10"/>
    <n v="20"/>
  </r>
  <r>
    <n v="3478"/>
    <x v="236"/>
    <x v="1"/>
    <x v="246"/>
    <x v="0"/>
    <x v="1"/>
    <x v="1"/>
    <s v="No"/>
    <x v="1"/>
    <s v="No"/>
    <n v="0"/>
    <n v="0"/>
    <n v="5"/>
  </r>
  <r>
    <n v="3479"/>
    <x v="237"/>
    <x v="0"/>
    <x v="247"/>
    <x v="1"/>
    <x v="0"/>
    <x v="0"/>
    <s v="Yes"/>
    <x v="0"/>
    <s v="Yes"/>
    <n v="20"/>
    <n v="20"/>
    <n v="45"/>
  </r>
  <r>
    <n v="3480"/>
    <x v="238"/>
    <x v="2"/>
    <x v="248"/>
    <x v="0"/>
    <x v="2"/>
    <x v="2"/>
    <s v="No"/>
    <x v="1"/>
    <s v="Yes"/>
    <n v="20"/>
    <n v="15"/>
    <n v="15"/>
  </r>
  <r>
    <n v="3481"/>
    <x v="239"/>
    <x v="1"/>
    <x v="249"/>
    <x v="1"/>
    <x v="1"/>
    <x v="0"/>
    <s v="No"/>
    <x v="1"/>
    <s v="No"/>
    <n v="0"/>
    <n v="1"/>
    <n v="4"/>
  </r>
  <r>
    <n v="3482"/>
    <x v="240"/>
    <x v="0"/>
    <x v="250"/>
    <x v="0"/>
    <x v="0"/>
    <x v="1"/>
    <s v="Yes"/>
    <x v="0"/>
    <s v="Yes"/>
    <n v="20"/>
    <n v="3"/>
    <n v="62"/>
  </r>
  <r>
    <n v="3483"/>
    <x v="241"/>
    <x v="2"/>
    <x v="251"/>
    <x v="1"/>
    <x v="2"/>
    <x v="0"/>
    <s v="No"/>
    <x v="1"/>
    <s v="Yes"/>
    <n v="20"/>
    <n v="10"/>
    <n v="20"/>
  </r>
  <r>
    <n v="3484"/>
    <x v="242"/>
    <x v="1"/>
    <x v="252"/>
    <x v="0"/>
    <x v="1"/>
    <x v="2"/>
    <s v="No"/>
    <x v="1"/>
    <s v="No"/>
    <n v="0"/>
    <n v="0"/>
    <n v="5"/>
  </r>
  <r>
    <n v="3485"/>
    <x v="243"/>
    <x v="0"/>
    <x v="253"/>
    <x v="1"/>
    <x v="0"/>
    <x v="0"/>
    <s v="Yes"/>
    <x v="0"/>
    <s v="Yes"/>
    <n v="20"/>
    <n v="15"/>
    <n v="50"/>
  </r>
  <r>
    <n v="3486"/>
    <x v="244"/>
    <x v="1"/>
    <x v="254"/>
    <x v="0"/>
    <x v="1"/>
    <x v="0"/>
    <s v="No"/>
    <x v="1"/>
    <s v="No"/>
    <n v="0"/>
    <n v="0"/>
    <n v="5"/>
  </r>
  <r>
    <n v="3487"/>
    <x v="245"/>
    <x v="0"/>
    <x v="255"/>
    <x v="1"/>
    <x v="0"/>
    <x v="2"/>
    <s v="Yes"/>
    <x v="0"/>
    <s v="Yes"/>
    <n v="20"/>
    <n v="7"/>
    <n v="58"/>
  </r>
  <r>
    <n v="3488"/>
    <x v="246"/>
    <x v="2"/>
    <x v="256"/>
    <x v="0"/>
    <x v="2"/>
    <x v="1"/>
    <s v="No"/>
    <x v="1"/>
    <s v="Yes"/>
    <n v="20"/>
    <n v="10"/>
    <n v="20"/>
  </r>
  <r>
    <n v="3489"/>
    <x v="247"/>
    <x v="1"/>
    <x v="257"/>
    <x v="1"/>
    <x v="1"/>
    <x v="2"/>
    <s v="No"/>
    <x v="1"/>
    <s v="No"/>
    <n v="0"/>
    <n v="1"/>
    <n v="4"/>
  </r>
  <r>
    <n v="3490"/>
    <x v="248"/>
    <x v="0"/>
    <x v="258"/>
    <x v="0"/>
    <x v="0"/>
    <x v="0"/>
    <s v="Yes"/>
    <x v="0"/>
    <s v="Yes"/>
    <n v="20"/>
    <n v="15"/>
    <n v="50"/>
  </r>
  <r>
    <n v="3491"/>
    <x v="249"/>
    <x v="2"/>
    <x v="259"/>
    <x v="1"/>
    <x v="2"/>
    <x v="0"/>
    <s v="No"/>
    <x v="1"/>
    <s v="Yes"/>
    <n v="20"/>
    <n v="5"/>
    <n v="25"/>
  </r>
  <r>
    <n v="3492"/>
    <x v="250"/>
    <x v="1"/>
    <x v="260"/>
    <x v="0"/>
    <x v="1"/>
    <x v="1"/>
    <s v="No"/>
    <x v="1"/>
    <s v="No"/>
    <n v="0"/>
    <n v="0"/>
    <n v="5"/>
  </r>
  <r>
    <n v="3493"/>
    <x v="251"/>
    <x v="0"/>
    <x v="261"/>
    <x v="1"/>
    <x v="0"/>
    <x v="2"/>
    <s v="Yes"/>
    <x v="0"/>
    <s v="Yes"/>
    <n v="20"/>
    <n v="20"/>
    <n v="45"/>
  </r>
  <r>
    <n v="3494"/>
    <x v="252"/>
    <x v="2"/>
    <x v="262"/>
    <x v="0"/>
    <x v="2"/>
    <x v="2"/>
    <s v="No"/>
    <x v="1"/>
    <s v="Yes"/>
    <n v="20"/>
    <n v="12"/>
    <n v="18"/>
  </r>
  <r>
    <n v="3495"/>
    <x v="253"/>
    <x v="1"/>
    <x v="263"/>
    <x v="1"/>
    <x v="1"/>
    <x v="0"/>
    <s v="No"/>
    <x v="1"/>
    <s v="No"/>
    <n v="0"/>
    <n v="2"/>
    <n v="3"/>
  </r>
  <r>
    <n v="3496"/>
    <x v="254"/>
    <x v="0"/>
    <x v="264"/>
    <x v="0"/>
    <x v="0"/>
    <x v="1"/>
    <s v="Yes"/>
    <x v="0"/>
    <s v="Yes"/>
    <n v="20"/>
    <n v="5"/>
    <n v="60"/>
  </r>
  <r>
    <n v="3497"/>
    <x v="255"/>
    <x v="2"/>
    <x v="265"/>
    <x v="1"/>
    <x v="2"/>
    <x v="0"/>
    <s v="No"/>
    <x v="1"/>
    <s v="Yes"/>
    <n v="20"/>
    <n v="10"/>
    <n v="20"/>
  </r>
  <r>
    <n v="3498"/>
    <x v="256"/>
    <x v="1"/>
    <x v="266"/>
    <x v="0"/>
    <x v="1"/>
    <x v="2"/>
    <s v="No"/>
    <x v="1"/>
    <s v="No"/>
    <n v="0"/>
    <n v="0"/>
    <n v="5"/>
  </r>
  <r>
    <n v="3499"/>
    <x v="257"/>
    <x v="0"/>
    <x v="267"/>
    <x v="1"/>
    <x v="0"/>
    <x v="0"/>
    <s v="Yes"/>
    <x v="0"/>
    <s v="Yes"/>
    <n v="20"/>
    <n v="3"/>
    <n v="62"/>
  </r>
  <r>
    <n v="3500"/>
    <x v="258"/>
    <x v="2"/>
    <x v="268"/>
    <x v="0"/>
    <x v="2"/>
    <x v="1"/>
    <s v="No"/>
    <x v="1"/>
    <s v="Yes"/>
    <n v="20"/>
    <n v="15"/>
    <n v="15"/>
  </r>
  <r>
    <n v="3501"/>
    <x v="259"/>
    <x v="1"/>
    <x v="269"/>
    <x v="1"/>
    <x v="1"/>
    <x v="0"/>
    <s v="No"/>
    <x v="1"/>
    <s v="No"/>
    <n v="0"/>
    <n v="1"/>
    <n v="4"/>
  </r>
  <r>
    <n v="3502"/>
    <x v="260"/>
    <x v="0"/>
    <x v="270"/>
    <x v="0"/>
    <x v="0"/>
    <x v="2"/>
    <s v="Yes"/>
    <x v="0"/>
    <s v="Yes"/>
    <n v="20"/>
    <n v="7"/>
    <n v="58"/>
  </r>
  <r>
    <n v="3503"/>
    <x v="119"/>
    <x v="2"/>
    <x v="271"/>
    <x v="1"/>
    <x v="2"/>
    <x v="0"/>
    <s v="No"/>
    <x v="1"/>
    <s v="Yes"/>
    <n v="20"/>
    <n v="10"/>
    <n v="20"/>
  </r>
  <r>
    <n v="3504"/>
    <x v="261"/>
    <x v="1"/>
    <x v="272"/>
    <x v="0"/>
    <x v="1"/>
    <x v="1"/>
    <s v="No"/>
    <x v="1"/>
    <s v="No"/>
    <n v="0"/>
    <n v="0"/>
    <n v="5"/>
  </r>
  <r>
    <n v="3505"/>
    <x v="262"/>
    <x v="0"/>
    <x v="273"/>
    <x v="1"/>
    <x v="0"/>
    <x v="0"/>
    <s v="Yes"/>
    <x v="0"/>
    <s v="Yes"/>
    <n v="20"/>
    <n v="20"/>
    <n v="45"/>
  </r>
  <r>
    <n v="3506"/>
    <x v="263"/>
    <x v="2"/>
    <x v="274"/>
    <x v="0"/>
    <x v="2"/>
    <x v="2"/>
    <s v="No"/>
    <x v="1"/>
    <s v="Yes"/>
    <n v="20"/>
    <n v="15"/>
    <n v="15"/>
  </r>
  <r>
    <n v="3507"/>
    <x v="264"/>
    <x v="1"/>
    <x v="275"/>
    <x v="1"/>
    <x v="1"/>
    <x v="0"/>
    <s v="No"/>
    <x v="1"/>
    <s v="No"/>
    <n v="0"/>
    <n v="1"/>
    <n v="4"/>
  </r>
  <r>
    <n v="3508"/>
    <x v="265"/>
    <x v="0"/>
    <x v="276"/>
    <x v="0"/>
    <x v="0"/>
    <x v="1"/>
    <s v="Yes"/>
    <x v="0"/>
    <s v="Yes"/>
    <n v="20"/>
    <n v="3"/>
    <n v="62"/>
  </r>
  <r>
    <n v="3509"/>
    <x v="266"/>
    <x v="2"/>
    <x v="277"/>
    <x v="1"/>
    <x v="2"/>
    <x v="0"/>
    <s v="No"/>
    <x v="1"/>
    <s v="Yes"/>
    <n v="20"/>
    <n v="10"/>
    <n v="20"/>
  </r>
  <r>
    <n v="3510"/>
    <x v="267"/>
    <x v="1"/>
    <x v="278"/>
    <x v="0"/>
    <x v="1"/>
    <x v="2"/>
    <s v="No"/>
    <x v="1"/>
    <s v="No"/>
    <n v="0"/>
    <n v="0"/>
    <n v="5"/>
  </r>
  <r>
    <n v="3511"/>
    <x v="268"/>
    <x v="0"/>
    <x v="279"/>
    <x v="1"/>
    <x v="0"/>
    <x v="0"/>
    <s v="Yes"/>
    <x v="0"/>
    <s v="Yes"/>
    <n v="20"/>
    <n v="15"/>
    <n v="50"/>
  </r>
  <r>
    <n v="3512"/>
    <x v="269"/>
    <x v="2"/>
    <x v="280"/>
    <x v="0"/>
    <x v="2"/>
    <x v="1"/>
    <s v="No"/>
    <x v="1"/>
    <s v="Yes"/>
    <n v="20"/>
    <n v="15"/>
    <n v="15"/>
  </r>
  <r>
    <n v="3513"/>
    <x v="270"/>
    <x v="1"/>
    <x v="281"/>
    <x v="1"/>
    <x v="1"/>
    <x v="0"/>
    <s v="No"/>
    <x v="1"/>
    <s v="No"/>
    <n v="0"/>
    <n v="1"/>
    <n v="4"/>
  </r>
  <r>
    <n v="3514"/>
    <x v="271"/>
    <x v="0"/>
    <x v="282"/>
    <x v="0"/>
    <x v="0"/>
    <x v="2"/>
    <s v="Yes"/>
    <x v="0"/>
    <s v="Yes"/>
    <n v="20"/>
    <n v="7"/>
    <n v="58"/>
  </r>
  <r>
    <n v="3515"/>
    <x v="130"/>
    <x v="2"/>
    <x v="283"/>
    <x v="1"/>
    <x v="2"/>
    <x v="0"/>
    <s v="No"/>
    <x v="1"/>
    <s v="Yes"/>
    <n v="20"/>
    <n v="10"/>
    <n v="20"/>
  </r>
  <r>
    <n v="3516"/>
    <x v="131"/>
    <x v="1"/>
    <x v="284"/>
    <x v="0"/>
    <x v="1"/>
    <x v="1"/>
    <s v="No"/>
    <x v="1"/>
    <s v="No"/>
    <n v="0"/>
    <n v="0"/>
    <n v="5"/>
  </r>
  <r>
    <n v="3517"/>
    <x v="181"/>
    <x v="0"/>
    <x v="285"/>
    <x v="1"/>
    <x v="0"/>
    <x v="0"/>
    <s v="Yes"/>
    <x v="0"/>
    <s v="Yes"/>
    <n v="20"/>
    <n v="20"/>
    <n v="45"/>
  </r>
  <r>
    <n v="3518"/>
    <x v="272"/>
    <x v="2"/>
    <x v="286"/>
    <x v="0"/>
    <x v="2"/>
    <x v="2"/>
    <s v="No"/>
    <x v="1"/>
    <s v="Yes"/>
    <n v="20"/>
    <n v="12"/>
    <n v="18"/>
  </r>
  <r>
    <n v="3519"/>
    <x v="273"/>
    <x v="1"/>
    <x v="287"/>
    <x v="1"/>
    <x v="1"/>
    <x v="0"/>
    <s v="No"/>
    <x v="1"/>
    <s v="No"/>
    <n v="0"/>
    <n v="2"/>
    <n v="3"/>
  </r>
  <r>
    <n v="3520"/>
    <x v="274"/>
    <x v="0"/>
    <x v="288"/>
    <x v="0"/>
    <x v="0"/>
    <x v="1"/>
    <s v="Yes"/>
    <x v="0"/>
    <s v="Yes"/>
    <n v="20"/>
    <n v="5"/>
    <n v="60"/>
  </r>
  <r>
    <n v="3521"/>
    <x v="275"/>
    <x v="2"/>
    <x v="289"/>
    <x v="1"/>
    <x v="2"/>
    <x v="0"/>
    <s v="No"/>
    <x v="1"/>
    <s v="Yes"/>
    <n v="20"/>
    <n v="10"/>
    <n v="20"/>
  </r>
  <r>
    <n v="3522"/>
    <x v="276"/>
    <x v="1"/>
    <x v="290"/>
    <x v="0"/>
    <x v="1"/>
    <x v="2"/>
    <s v="No"/>
    <x v="1"/>
    <s v="No"/>
    <n v="0"/>
    <n v="0"/>
    <n v="5"/>
  </r>
  <r>
    <n v="3523"/>
    <x v="277"/>
    <x v="0"/>
    <x v="291"/>
    <x v="1"/>
    <x v="0"/>
    <x v="0"/>
    <s v="Yes"/>
    <x v="0"/>
    <s v="Yes"/>
    <n v="20"/>
    <n v="3"/>
    <n v="62"/>
  </r>
  <r>
    <n v="3524"/>
    <x v="278"/>
    <x v="2"/>
    <x v="292"/>
    <x v="0"/>
    <x v="2"/>
    <x v="1"/>
    <s v="No"/>
    <x v="1"/>
    <s v="Yes"/>
    <n v="20"/>
    <n v="15"/>
    <n v="15"/>
  </r>
  <r>
    <n v="3525"/>
    <x v="279"/>
    <x v="1"/>
    <x v="293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B7EFB-8DE4-438F-83E8-C70351D59102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C48:E61" firstHeaderRow="0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13"/>
        <item sd="0" x="0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t="default"/>
      </items>
    </pivotField>
  </pivotFields>
  <rowFields count="1">
    <field x="14"/>
  </rowFields>
  <rowItems count="1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Minecraft Season Pass Price" fld="10" baseField="0" baseItem="0" numFmtId="44"/>
    <dataField name="Soma de EA Play Season Pass" fld="8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040FA-3DF6-48F8-BE4C-53AEDB6D0C2F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C41:D42" firstHeaderRow="0" firstDataRow="1" firstDataCol="0" rowPageCount="2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2">
    <pageField fld="4" hier="-1"/>
    <pageField fld="6" hier="-1"/>
  </pageFields>
  <dataFields count="2">
    <dataField name="Soma de EA Play Season Pass" fld="8" baseField="2" baseItem="0" numFmtId="44"/>
    <dataField name="Soma de Minecraft Season Pass Price" fld="10" baseField="0" baseItem="0" numFmtId="44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1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BC3F6-32AA-4C75-998E-EAB1C505703D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30:D3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9539F-4533-490C-80AB-DD0C2B06FD44}" name="Total_EA paly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19:D23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2F5D4-804B-41E6-8E4B-CB3C5FF35624}" name="Total_valor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C10:D13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34A35FD-B4C4-469D-81D9-9ED514A6F142}" sourceName="Subscription Type">
  <pivotTables>
    <pivotTable tabId="3" name="Total_valor"/>
    <pivotTable tabId="3" name="Total_EA paly"/>
    <pivotTable tabId="3" name="Tabela dinâmica3"/>
    <pivotTable tabId="3" name="Tabela dinâmica1"/>
    <pivotTable tabId="3" name="Tabela dinâmica2"/>
  </pivotTables>
  <data>
    <tabular pivotCacheId="1226496936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B6DFAF3C-2ACE-4284-8C30-126692F1E3F7}" sourceName="Auto Renewal">
  <pivotTables>
    <pivotTable tabId="3" name="Tabela dinâmica1"/>
    <pivotTable tabId="3" name="Tabela dinâmica2"/>
    <pivotTable tabId="3" name="Tabela dinâmica3"/>
    <pivotTable tabId="3" name="Total_EA paly"/>
    <pivotTable tabId="3" name="Total_valor"/>
  </pivotTables>
  <data>
    <tabular pivotCacheId="1226496936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6B9E200-7FB5-4396-9A3B-C8F6513F96FE}" cache="SegmentaçãodeDados_Subscription_Type" caption="Subscription Type" style="SlicerStyleLight6 2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12E5E8C0-6E08-4563-8855-0F366E52EADE}" cache="SegmentaçãodeDados_Subscription_Type" caption="Subscription Type" style="SlicerStyleLight6 2" rowHeight="247650"/>
  <slicer name="Auto Renewal" xr10:uid="{9F632491-1990-4985-BF60-2D067CF92033}" cache="SegmentaçãodeDados_Auto_Renewal" caption="Auto Renewal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Tabela 1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  <sheetView workbookViewId="1"/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U65" sqref="U65"/>
    </sheetView>
    <sheetView workbookViewId="1"/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312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G61"/>
  <sheetViews>
    <sheetView showGridLines="0" topLeftCell="A11" workbookViewId="0">
      <selection activeCell="C39" sqref="C39"/>
    </sheetView>
    <sheetView workbookViewId="1"/>
  </sheetViews>
  <sheetFormatPr defaultRowHeight="15" x14ac:dyDescent="0.25"/>
  <cols>
    <col min="3" max="3" width="18.42578125" bestFit="1" customWidth="1"/>
    <col min="4" max="4" width="35.140625" bestFit="1" customWidth="1"/>
    <col min="5" max="5" width="27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3:4" x14ac:dyDescent="0.25">
      <c r="C3" t="s">
        <v>313</v>
      </c>
    </row>
    <row r="5" spans="3:4" x14ac:dyDescent="0.25">
      <c r="C5" t="s">
        <v>314</v>
      </c>
    </row>
    <row r="6" spans="3:4" x14ac:dyDescent="0.25">
      <c r="C6" t="s">
        <v>318</v>
      </c>
    </row>
    <row r="8" spans="3:4" x14ac:dyDescent="0.25">
      <c r="C8" s="12" t="s">
        <v>15</v>
      </c>
      <c r="D8" t="s">
        <v>325</v>
      </c>
    </row>
    <row r="10" spans="3:4" x14ac:dyDescent="0.25">
      <c r="C10" s="12" t="s">
        <v>315</v>
      </c>
      <c r="D10" t="s">
        <v>317</v>
      </c>
    </row>
    <row r="11" spans="3:4" x14ac:dyDescent="0.25">
      <c r="C11" s="13" t="s">
        <v>22</v>
      </c>
      <c r="D11" s="14">
        <v>3847</v>
      </c>
    </row>
    <row r="12" spans="3:4" x14ac:dyDescent="0.25">
      <c r="C12" s="13" t="s">
        <v>18</v>
      </c>
      <c r="D12" s="14">
        <v>3786</v>
      </c>
    </row>
    <row r="13" spans="3:4" x14ac:dyDescent="0.25">
      <c r="C13" s="13" t="s">
        <v>316</v>
      </c>
      <c r="D13" s="14">
        <v>7633</v>
      </c>
    </row>
    <row r="15" spans="3:4" x14ac:dyDescent="0.25">
      <c r="C15" s="13" t="s">
        <v>320</v>
      </c>
    </row>
    <row r="17" spans="3:6" x14ac:dyDescent="0.25">
      <c r="C17" s="12" t="s">
        <v>15</v>
      </c>
      <c r="D17" t="s">
        <v>325</v>
      </c>
    </row>
    <row r="19" spans="3:6" x14ac:dyDescent="0.25">
      <c r="C19" s="12" t="s">
        <v>315</v>
      </c>
      <c r="D19" t="s">
        <v>321</v>
      </c>
    </row>
    <row r="20" spans="3:6" x14ac:dyDescent="0.25">
      <c r="C20" s="13" t="s">
        <v>21</v>
      </c>
      <c r="D20" s="20">
        <v>0</v>
      </c>
    </row>
    <row r="21" spans="3:6" x14ac:dyDescent="0.25">
      <c r="C21" s="13" t="s">
        <v>25</v>
      </c>
      <c r="D21" s="20">
        <v>0</v>
      </c>
      <c r="F21" s="16">
        <f>GETPIVOTDATA("EA Play Season Pass
Price",$C$19,"Plan","Ultimate")</f>
        <v>2940</v>
      </c>
    </row>
    <row r="22" spans="3:6" x14ac:dyDescent="0.25">
      <c r="C22" s="13" t="s">
        <v>17</v>
      </c>
      <c r="D22" s="20">
        <v>2940</v>
      </c>
    </row>
    <row r="23" spans="3:6" x14ac:dyDescent="0.25">
      <c r="C23" s="13" t="s">
        <v>316</v>
      </c>
      <c r="D23" s="20">
        <v>2940</v>
      </c>
    </row>
    <row r="25" spans="3:6" x14ac:dyDescent="0.25">
      <c r="C25" s="13" t="s">
        <v>322</v>
      </c>
    </row>
    <row r="28" spans="3:6" x14ac:dyDescent="0.25">
      <c r="C28" s="12" t="s">
        <v>15</v>
      </c>
      <c r="D28" t="s">
        <v>325</v>
      </c>
    </row>
    <row r="30" spans="3:6" x14ac:dyDescent="0.25">
      <c r="C30" s="12" t="s">
        <v>315</v>
      </c>
      <c r="D30" t="s">
        <v>323</v>
      </c>
    </row>
    <row r="31" spans="3:6" x14ac:dyDescent="0.25">
      <c r="C31" s="13" t="s">
        <v>21</v>
      </c>
      <c r="D31" s="14">
        <v>0</v>
      </c>
    </row>
    <row r="32" spans="3:6" x14ac:dyDescent="0.25">
      <c r="C32" s="13" t="s">
        <v>25</v>
      </c>
      <c r="D32" s="14">
        <v>1920</v>
      </c>
    </row>
    <row r="33" spans="3:7" x14ac:dyDescent="0.25">
      <c r="C33" s="13" t="s">
        <v>17</v>
      </c>
      <c r="D33" s="14">
        <v>1960</v>
      </c>
    </row>
    <row r="34" spans="3:7" x14ac:dyDescent="0.25">
      <c r="C34" s="13" t="s">
        <v>316</v>
      </c>
      <c r="D34" s="14">
        <v>3880</v>
      </c>
      <c r="F34" s="17">
        <f>GETPIVOTDATA("Minecraft Season Pass Price",$C$30)</f>
        <v>3880</v>
      </c>
    </row>
    <row r="37" spans="3:7" x14ac:dyDescent="0.25">
      <c r="C37" s="13" t="s">
        <v>324</v>
      </c>
    </row>
    <row r="38" spans="3:7" x14ac:dyDescent="0.25">
      <c r="C38" s="12" t="s">
        <v>14</v>
      </c>
      <c r="D38" t="s">
        <v>325</v>
      </c>
    </row>
    <row r="39" spans="3:7" x14ac:dyDescent="0.25">
      <c r="C39" s="12" t="s">
        <v>15</v>
      </c>
      <c r="D39" t="s">
        <v>325</v>
      </c>
    </row>
    <row r="41" spans="3:7" x14ac:dyDescent="0.25">
      <c r="C41" t="s">
        <v>321</v>
      </c>
      <c r="D41" t="s">
        <v>323</v>
      </c>
      <c r="F41" s="20">
        <f>GETPIVOTDATA("Soma de Minecraft Season Pass Price",$C$41)</f>
        <v>3880</v>
      </c>
      <c r="G41">
        <f>GETPIVOTDATA("Soma de EA Play Season Pass",$C$41)</f>
        <v>2940</v>
      </c>
    </row>
    <row r="42" spans="3:7" x14ac:dyDescent="0.25">
      <c r="C42" s="14">
        <v>2940</v>
      </c>
      <c r="D42" s="14">
        <v>3880</v>
      </c>
    </row>
    <row r="44" spans="3:7" x14ac:dyDescent="0.25">
      <c r="C44" t="s">
        <v>326</v>
      </c>
    </row>
    <row r="48" spans="3:7" x14ac:dyDescent="0.25">
      <c r="C48" s="12" t="s">
        <v>315</v>
      </c>
      <c r="D48" t="s">
        <v>323</v>
      </c>
      <c r="E48" t="s">
        <v>321</v>
      </c>
    </row>
    <row r="49" spans="3:5" x14ac:dyDescent="0.25">
      <c r="C49" s="13" t="s">
        <v>338</v>
      </c>
      <c r="D49" s="14">
        <v>200</v>
      </c>
      <c r="E49" s="20">
        <v>150</v>
      </c>
    </row>
    <row r="50" spans="3:5" x14ac:dyDescent="0.25">
      <c r="C50" s="13" t="s">
        <v>337</v>
      </c>
      <c r="D50" s="14">
        <v>400</v>
      </c>
      <c r="E50" s="20">
        <v>300</v>
      </c>
    </row>
    <row r="51" spans="3:5" x14ac:dyDescent="0.25">
      <c r="C51" s="13" t="s">
        <v>336</v>
      </c>
      <c r="D51" s="14">
        <v>420</v>
      </c>
      <c r="E51" s="20">
        <v>330</v>
      </c>
    </row>
    <row r="52" spans="3:5" x14ac:dyDescent="0.25">
      <c r="C52" s="13" t="s">
        <v>335</v>
      </c>
      <c r="D52" s="14">
        <v>400</v>
      </c>
      <c r="E52" s="20">
        <v>300</v>
      </c>
    </row>
    <row r="53" spans="3:5" x14ac:dyDescent="0.25">
      <c r="C53" s="13" t="s">
        <v>334</v>
      </c>
      <c r="D53" s="14">
        <v>400</v>
      </c>
      <c r="E53" s="20">
        <v>300</v>
      </c>
    </row>
    <row r="54" spans="3:5" x14ac:dyDescent="0.25">
      <c r="C54" s="13" t="s">
        <v>333</v>
      </c>
      <c r="D54" s="14">
        <v>400</v>
      </c>
      <c r="E54" s="20">
        <v>300</v>
      </c>
    </row>
    <row r="55" spans="3:5" x14ac:dyDescent="0.25">
      <c r="C55" s="13" t="s">
        <v>332</v>
      </c>
      <c r="D55" s="14">
        <v>400</v>
      </c>
      <c r="E55" s="20">
        <v>300</v>
      </c>
    </row>
    <row r="56" spans="3:5" x14ac:dyDescent="0.25">
      <c r="C56" s="13" t="s">
        <v>331</v>
      </c>
      <c r="D56" s="14">
        <v>400</v>
      </c>
      <c r="E56" s="20">
        <v>300</v>
      </c>
    </row>
    <row r="57" spans="3:5" x14ac:dyDescent="0.25">
      <c r="C57" s="13" t="s">
        <v>330</v>
      </c>
      <c r="D57" s="14">
        <v>400</v>
      </c>
      <c r="E57" s="20">
        <v>300</v>
      </c>
    </row>
    <row r="58" spans="3:5" x14ac:dyDescent="0.25">
      <c r="C58" s="13" t="s">
        <v>329</v>
      </c>
      <c r="D58" s="14">
        <v>400</v>
      </c>
      <c r="E58" s="20">
        <v>300</v>
      </c>
    </row>
    <row r="59" spans="3:5" x14ac:dyDescent="0.25">
      <c r="C59" s="13" t="s">
        <v>328</v>
      </c>
      <c r="D59" s="14">
        <v>40</v>
      </c>
      <c r="E59" s="20">
        <v>30</v>
      </c>
    </row>
    <row r="60" spans="3:5" x14ac:dyDescent="0.25">
      <c r="C60" s="13" t="s">
        <v>327</v>
      </c>
      <c r="D60" s="14">
        <v>20</v>
      </c>
      <c r="E60" s="20">
        <v>30</v>
      </c>
    </row>
    <row r="61" spans="3:5" x14ac:dyDescent="0.25">
      <c r="C61" s="13" t="s">
        <v>316</v>
      </c>
      <c r="D61" s="14">
        <v>3880</v>
      </c>
      <c r="E61" s="20">
        <v>2940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633"/>
  <sheetViews>
    <sheetView showGridLines="0" showRowColHeaders="0" zoomScaleNormal="100" workbookViewId="0">
      <selection activeCell="W30" sqref="W30"/>
    </sheetView>
    <sheetView showGridLines="0" tabSelected="1" workbookViewId="1">
      <selection activeCell="W37" sqref="W37"/>
    </sheetView>
  </sheetViews>
  <sheetFormatPr defaultRowHeight="15" x14ac:dyDescent="0.25"/>
  <cols>
    <col min="1" max="1" width="24.7109375" style="5" customWidth="1"/>
    <col min="2" max="2" width="3.5703125" customWidth="1"/>
    <col min="12" max="12" width="6.5703125" customWidth="1"/>
    <col min="19" max="19" width="5.5703125" customWidth="1"/>
  </cols>
  <sheetData>
    <row r="2" spans="1:19" ht="16.149999999999999" customHeight="1" x14ac:dyDescent="0.25"/>
    <row r="3" spans="1:19" ht="33" customHeight="1" thickBot="1" x14ac:dyDescent="0.35">
      <c r="B3" s="18"/>
      <c r="C3" s="19" t="s">
        <v>319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27" customHeight="1" thickTop="1" x14ac:dyDescent="0.25"/>
    <row r="5" spans="1:19" s="7" customFormat="1" ht="10.5" customHeight="1" x14ac:dyDescent="0.25">
      <c r="A5" s="5"/>
    </row>
    <row r="6" spans="1:19" s="7" customFormat="1" ht="9.75" customHeight="1" x14ac:dyDescent="0.25">
      <c r="A6" s="5"/>
    </row>
    <row r="7" spans="1:19" s="7" customFormat="1" ht="33" customHeight="1" x14ac:dyDescent="0.25">
      <c r="A7" s="5"/>
    </row>
    <row r="8" spans="1:19" s="7" customFormat="1" x14ac:dyDescent="0.25">
      <c r="A8" s="5"/>
    </row>
    <row r="9" spans="1:19" s="7" customFormat="1" x14ac:dyDescent="0.25">
      <c r="A9" s="5"/>
    </row>
    <row r="10" spans="1:19" s="7" customFormat="1" x14ac:dyDescent="0.25">
      <c r="A10" s="5"/>
    </row>
    <row r="11" spans="1:19" s="7" customFormat="1" x14ac:dyDescent="0.25">
      <c r="A11" s="5"/>
    </row>
    <row r="12" spans="1:19" s="7" customFormat="1" x14ac:dyDescent="0.25">
      <c r="A12" s="5"/>
    </row>
    <row r="13" spans="1:19" s="7" customFormat="1" x14ac:dyDescent="0.25">
      <c r="A13" s="5"/>
    </row>
    <row r="14" spans="1:19" s="7" customFormat="1" x14ac:dyDescent="0.25">
      <c r="A14" s="5"/>
    </row>
    <row r="15" spans="1:19" s="7" customFormat="1" x14ac:dyDescent="0.25">
      <c r="A15" s="5"/>
    </row>
    <row r="16" spans="1:19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  <row r="138" spans="1:1" s="7" customFormat="1" x14ac:dyDescent="0.25">
      <c r="A138" s="5"/>
    </row>
    <row r="139" spans="1:1" s="7" customFormat="1" x14ac:dyDescent="0.25">
      <c r="A139" s="5"/>
    </row>
    <row r="140" spans="1:1" s="7" customFormat="1" x14ac:dyDescent="0.25">
      <c r="A140" s="5"/>
    </row>
    <row r="141" spans="1:1" s="7" customFormat="1" x14ac:dyDescent="0.25">
      <c r="A141" s="5"/>
    </row>
    <row r="142" spans="1:1" s="7" customFormat="1" x14ac:dyDescent="0.25">
      <c r="A142" s="5"/>
    </row>
    <row r="143" spans="1:1" s="7" customFormat="1" x14ac:dyDescent="0.25">
      <c r="A143" s="5"/>
    </row>
    <row r="144" spans="1:1" s="7" customFormat="1" x14ac:dyDescent="0.25">
      <c r="A144" s="5"/>
    </row>
    <row r="145" spans="1:1" s="7" customFormat="1" x14ac:dyDescent="0.25">
      <c r="A145" s="5"/>
    </row>
    <row r="146" spans="1:1" s="7" customFormat="1" x14ac:dyDescent="0.25">
      <c r="A146" s="5"/>
    </row>
    <row r="147" spans="1:1" s="7" customFormat="1" x14ac:dyDescent="0.25">
      <c r="A147" s="5"/>
    </row>
    <row r="148" spans="1:1" s="7" customFormat="1" x14ac:dyDescent="0.25">
      <c r="A148" s="5"/>
    </row>
    <row r="149" spans="1:1" s="7" customFormat="1" x14ac:dyDescent="0.25">
      <c r="A149" s="5"/>
    </row>
    <row r="150" spans="1:1" s="7" customFormat="1" x14ac:dyDescent="0.25">
      <c r="A150" s="5"/>
    </row>
    <row r="151" spans="1:1" s="7" customFormat="1" x14ac:dyDescent="0.25">
      <c r="A151" s="5"/>
    </row>
    <row r="152" spans="1:1" s="7" customFormat="1" x14ac:dyDescent="0.25">
      <c r="A152" s="5"/>
    </row>
    <row r="153" spans="1:1" s="7" customFormat="1" x14ac:dyDescent="0.25">
      <c r="A153" s="5"/>
    </row>
    <row r="154" spans="1:1" s="7" customFormat="1" x14ac:dyDescent="0.25">
      <c r="A154" s="5"/>
    </row>
    <row r="155" spans="1:1" s="7" customFormat="1" x14ac:dyDescent="0.25">
      <c r="A155" s="5"/>
    </row>
    <row r="156" spans="1:1" s="7" customFormat="1" x14ac:dyDescent="0.25">
      <c r="A156" s="5"/>
    </row>
    <row r="157" spans="1:1" s="7" customFormat="1" x14ac:dyDescent="0.25">
      <c r="A157" s="5"/>
    </row>
    <row r="158" spans="1:1" s="7" customFormat="1" x14ac:dyDescent="0.25">
      <c r="A158" s="5"/>
    </row>
    <row r="159" spans="1:1" s="7" customFormat="1" x14ac:dyDescent="0.25">
      <c r="A159" s="5"/>
    </row>
    <row r="160" spans="1:1" s="7" customFormat="1" x14ac:dyDescent="0.25">
      <c r="A160" s="5"/>
    </row>
    <row r="161" spans="1:1" s="7" customFormat="1" x14ac:dyDescent="0.25">
      <c r="A161" s="5"/>
    </row>
    <row r="162" spans="1:1" s="7" customFormat="1" x14ac:dyDescent="0.25">
      <c r="A162" s="5"/>
    </row>
    <row r="163" spans="1:1" s="7" customFormat="1" x14ac:dyDescent="0.25">
      <c r="A163" s="5"/>
    </row>
    <row r="164" spans="1:1" s="7" customFormat="1" x14ac:dyDescent="0.25">
      <c r="A164" s="5"/>
    </row>
    <row r="165" spans="1:1" s="7" customFormat="1" x14ac:dyDescent="0.25">
      <c r="A165" s="5"/>
    </row>
    <row r="166" spans="1:1" s="7" customFormat="1" x14ac:dyDescent="0.25">
      <c r="A166" s="5"/>
    </row>
    <row r="167" spans="1:1" s="7" customFormat="1" x14ac:dyDescent="0.25">
      <c r="A167" s="5"/>
    </row>
    <row r="168" spans="1:1" s="7" customFormat="1" x14ac:dyDescent="0.25">
      <c r="A168" s="5"/>
    </row>
    <row r="169" spans="1:1" s="7" customFormat="1" x14ac:dyDescent="0.25">
      <c r="A169" s="5"/>
    </row>
    <row r="170" spans="1:1" s="7" customFormat="1" x14ac:dyDescent="0.25">
      <c r="A170" s="5"/>
    </row>
    <row r="171" spans="1:1" s="7" customFormat="1" x14ac:dyDescent="0.25">
      <c r="A171" s="5"/>
    </row>
    <row r="172" spans="1:1" s="7" customFormat="1" x14ac:dyDescent="0.25">
      <c r="A172" s="5"/>
    </row>
    <row r="173" spans="1:1" s="7" customFormat="1" x14ac:dyDescent="0.25">
      <c r="A173" s="5"/>
    </row>
    <row r="174" spans="1:1" s="7" customFormat="1" x14ac:dyDescent="0.25">
      <c r="A174" s="5"/>
    </row>
    <row r="175" spans="1:1" s="7" customFormat="1" x14ac:dyDescent="0.25">
      <c r="A175" s="5"/>
    </row>
    <row r="176" spans="1:1" s="7" customFormat="1" x14ac:dyDescent="0.25">
      <c r="A176" s="5"/>
    </row>
    <row r="177" spans="1:1" s="7" customFormat="1" x14ac:dyDescent="0.25">
      <c r="A177" s="5"/>
    </row>
    <row r="178" spans="1:1" s="7" customFormat="1" x14ac:dyDescent="0.25">
      <c r="A178" s="5"/>
    </row>
    <row r="179" spans="1:1" s="7" customFormat="1" x14ac:dyDescent="0.25">
      <c r="A179" s="5"/>
    </row>
    <row r="180" spans="1:1" s="7" customFormat="1" x14ac:dyDescent="0.25">
      <c r="A180" s="5"/>
    </row>
    <row r="181" spans="1:1" s="7" customFormat="1" x14ac:dyDescent="0.25">
      <c r="A181" s="5"/>
    </row>
    <row r="182" spans="1:1" s="7" customFormat="1" x14ac:dyDescent="0.25">
      <c r="A182" s="5"/>
    </row>
    <row r="183" spans="1:1" s="7" customFormat="1" x14ac:dyDescent="0.25">
      <c r="A183" s="5"/>
    </row>
    <row r="184" spans="1:1" s="7" customFormat="1" x14ac:dyDescent="0.25">
      <c r="A184" s="5"/>
    </row>
    <row r="185" spans="1:1" s="7" customFormat="1" x14ac:dyDescent="0.25">
      <c r="A185" s="5"/>
    </row>
    <row r="186" spans="1:1" s="7" customFormat="1" x14ac:dyDescent="0.25">
      <c r="A186" s="5"/>
    </row>
    <row r="187" spans="1:1" s="7" customFormat="1" x14ac:dyDescent="0.25">
      <c r="A187" s="5"/>
    </row>
    <row r="188" spans="1:1" s="7" customFormat="1" x14ac:dyDescent="0.25">
      <c r="A188" s="5"/>
    </row>
    <row r="189" spans="1:1" s="7" customFormat="1" x14ac:dyDescent="0.25">
      <c r="A189" s="5"/>
    </row>
    <row r="190" spans="1:1" s="7" customFormat="1" x14ac:dyDescent="0.25">
      <c r="A190" s="5"/>
    </row>
    <row r="191" spans="1:1" s="7" customFormat="1" x14ac:dyDescent="0.25">
      <c r="A191" s="5"/>
    </row>
    <row r="192" spans="1:1" s="7" customFormat="1" x14ac:dyDescent="0.25">
      <c r="A192" s="5"/>
    </row>
    <row r="193" spans="1:1" s="7" customFormat="1" x14ac:dyDescent="0.25">
      <c r="A193" s="5"/>
    </row>
    <row r="194" spans="1:1" s="7" customFormat="1" x14ac:dyDescent="0.25">
      <c r="A194" s="5"/>
    </row>
    <row r="195" spans="1:1" s="7" customFormat="1" x14ac:dyDescent="0.25">
      <c r="A195" s="5"/>
    </row>
    <row r="196" spans="1:1" s="7" customFormat="1" x14ac:dyDescent="0.25">
      <c r="A196" s="5"/>
    </row>
    <row r="197" spans="1:1" s="7" customFormat="1" x14ac:dyDescent="0.25">
      <c r="A197" s="5"/>
    </row>
    <row r="198" spans="1:1" s="7" customFormat="1" x14ac:dyDescent="0.25">
      <c r="A198" s="5"/>
    </row>
    <row r="199" spans="1:1" s="7" customFormat="1" x14ac:dyDescent="0.25">
      <c r="A199" s="5"/>
    </row>
    <row r="200" spans="1:1" s="7" customFormat="1" x14ac:dyDescent="0.25">
      <c r="A200" s="5"/>
    </row>
    <row r="201" spans="1:1" s="7" customFormat="1" x14ac:dyDescent="0.25">
      <c r="A201" s="5"/>
    </row>
    <row r="202" spans="1:1" s="7" customFormat="1" x14ac:dyDescent="0.25">
      <c r="A202" s="5"/>
    </row>
    <row r="203" spans="1:1" s="7" customFormat="1" x14ac:dyDescent="0.25">
      <c r="A203" s="5"/>
    </row>
    <row r="204" spans="1:1" s="7" customFormat="1" x14ac:dyDescent="0.25">
      <c r="A204" s="5"/>
    </row>
    <row r="205" spans="1:1" s="7" customFormat="1" x14ac:dyDescent="0.25">
      <c r="A205" s="5"/>
    </row>
    <row r="206" spans="1:1" s="7" customFormat="1" x14ac:dyDescent="0.25">
      <c r="A206" s="5"/>
    </row>
    <row r="207" spans="1:1" s="7" customFormat="1" x14ac:dyDescent="0.25">
      <c r="A207" s="5"/>
    </row>
    <row r="208" spans="1:1" s="7" customFormat="1" x14ac:dyDescent="0.25">
      <c r="A208" s="5"/>
    </row>
    <row r="209" spans="1:1" s="7" customFormat="1" x14ac:dyDescent="0.25">
      <c r="A209" s="5"/>
    </row>
    <row r="210" spans="1:1" s="7" customFormat="1" x14ac:dyDescent="0.25">
      <c r="A210" s="5"/>
    </row>
    <row r="211" spans="1:1" s="7" customFormat="1" x14ac:dyDescent="0.25">
      <c r="A211" s="5"/>
    </row>
    <row r="212" spans="1:1" s="7" customFormat="1" x14ac:dyDescent="0.25">
      <c r="A212" s="5"/>
    </row>
    <row r="213" spans="1:1" s="7" customFormat="1" x14ac:dyDescent="0.25">
      <c r="A213" s="5"/>
    </row>
    <row r="214" spans="1:1" s="7" customFormat="1" x14ac:dyDescent="0.25">
      <c r="A214" s="5"/>
    </row>
    <row r="215" spans="1:1" s="7" customFormat="1" x14ac:dyDescent="0.25">
      <c r="A215" s="5"/>
    </row>
    <row r="216" spans="1:1" s="7" customFormat="1" x14ac:dyDescent="0.25">
      <c r="A216" s="5"/>
    </row>
    <row r="217" spans="1:1" s="7" customFormat="1" x14ac:dyDescent="0.25">
      <c r="A217" s="5"/>
    </row>
    <row r="218" spans="1:1" s="7" customFormat="1" x14ac:dyDescent="0.25">
      <c r="A218" s="5"/>
    </row>
    <row r="219" spans="1:1" s="7" customFormat="1" x14ac:dyDescent="0.25">
      <c r="A219" s="5"/>
    </row>
    <row r="220" spans="1:1" s="7" customFormat="1" x14ac:dyDescent="0.25">
      <c r="A220" s="5"/>
    </row>
    <row r="221" spans="1:1" s="7" customFormat="1" x14ac:dyDescent="0.25">
      <c r="A221" s="5"/>
    </row>
    <row r="222" spans="1:1" s="7" customFormat="1" x14ac:dyDescent="0.25">
      <c r="A222" s="5"/>
    </row>
    <row r="223" spans="1:1" s="7" customFormat="1" x14ac:dyDescent="0.25">
      <c r="A223" s="5"/>
    </row>
    <row r="224" spans="1:1" s="7" customFormat="1" x14ac:dyDescent="0.25">
      <c r="A224" s="5"/>
    </row>
    <row r="225" spans="1:1" s="7" customFormat="1" x14ac:dyDescent="0.25">
      <c r="A225" s="5"/>
    </row>
    <row r="226" spans="1:1" s="7" customFormat="1" x14ac:dyDescent="0.25">
      <c r="A226" s="5"/>
    </row>
    <row r="227" spans="1:1" s="7" customFormat="1" x14ac:dyDescent="0.25">
      <c r="A227" s="5"/>
    </row>
    <row r="228" spans="1:1" s="7" customFormat="1" x14ac:dyDescent="0.25">
      <c r="A228" s="5"/>
    </row>
    <row r="229" spans="1:1" s="7" customFormat="1" x14ac:dyDescent="0.25">
      <c r="A229" s="5"/>
    </row>
    <row r="230" spans="1:1" s="7" customFormat="1" x14ac:dyDescent="0.25">
      <c r="A230" s="5"/>
    </row>
    <row r="231" spans="1:1" s="7" customFormat="1" x14ac:dyDescent="0.25">
      <c r="A231" s="5"/>
    </row>
    <row r="232" spans="1:1" s="7" customFormat="1" x14ac:dyDescent="0.25">
      <c r="A232" s="5"/>
    </row>
    <row r="233" spans="1:1" s="7" customFormat="1" x14ac:dyDescent="0.25">
      <c r="A233" s="5"/>
    </row>
    <row r="234" spans="1:1" s="7" customFormat="1" x14ac:dyDescent="0.25">
      <c r="A234" s="5"/>
    </row>
    <row r="235" spans="1:1" s="7" customFormat="1" x14ac:dyDescent="0.25">
      <c r="A235" s="5"/>
    </row>
    <row r="236" spans="1:1" s="7" customFormat="1" x14ac:dyDescent="0.25">
      <c r="A236" s="5"/>
    </row>
    <row r="237" spans="1:1" s="7" customFormat="1" x14ac:dyDescent="0.25">
      <c r="A237" s="5"/>
    </row>
    <row r="238" spans="1:1" s="7" customFormat="1" x14ac:dyDescent="0.25">
      <c r="A238" s="5"/>
    </row>
    <row r="239" spans="1:1" s="7" customFormat="1" x14ac:dyDescent="0.25">
      <c r="A239" s="5"/>
    </row>
    <row r="240" spans="1:1" s="7" customFormat="1" x14ac:dyDescent="0.25">
      <c r="A240" s="5"/>
    </row>
    <row r="241" spans="1:1" s="7" customFormat="1" x14ac:dyDescent="0.25">
      <c r="A241" s="5"/>
    </row>
    <row r="242" spans="1:1" s="7" customFormat="1" x14ac:dyDescent="0.25">
      <c r="A242" s="5"/>
    </row>
    <row r="243" spans="1:1" s="7" customFormat="1" x14ac:dyDescent="0.25">
      <c r="A243" s="5"/>
    </row>
    <row r="244" spans="1:1" s="7" customFormat="1" x14ac:dyDescent="0.25">
      <c r="A244" s="5"/>
    </row>
    <row r="245" spans="1:1" s="7" customFormat="1" x14ac:dyDescent="0.25">
      <c r="A245" s="5"/>
    </row>
    <row r="246" spans="1:1" s="7" customFormat="1" x14ac:dyDescent="0.25">
      <c r="A246" s="5"/>
    </row>
    <row r="247" spans="1:1" s="7" customFormat="1" x14ac:dyDescent="0.25">
      <c r="A247" s="5"/>
    </row>
    <row r="248" spans="1:1" s="7" customFormat="1" x14ac:dyDescent="0.25">
      <c r="A248" s="5"/>
    </row>
    <row r="249" spans="1:1" s="7" customFormat="1" x14ac:dyDescent="0.25">
      <c r="A249" s="5"/>
    </row>
    <row r="250" spans="1:1" s="7" customFormat="1" x14ac:dyDescent="0.25">
      <c r="A250" s="5"/>
    </row>
    <row r="251" spans="1:1" s="7" customFormat="1" x14ac:dyDescent="0.25">
      <c r="A251" s="5"/>
    </row>
    <row r="252" spans="1:1" s="7" customFormat="1" x14ac:dyDescent="0.25">
      <c r="A252" s="5"/>
    </row>
    <row r="253" spans="1:1" s="7" customFormat="1" x14ac:dyDescent="0.25">
      <c r="A253" s="5"/>
    </row>
    <row r="254" spans="1:1" s="7" customFormat="1" x14ac:dyDescent="0.25">
      <c r="A254" s="5"/>
    </row>
    <row r="255" spans="1:1" s="7" customFormat="1" x14ac:dyDescent="0.25">
      <c r="A255" s="5"/>
    </row>
    <row r="256" spans="1:1" s="7" customFormat="1" x14ac:dyDescent="0.25">
      <c r="A256" s="5"/>
    </row>
    <row r="257" spans="1:1" s="7" customFormat="1" x14ac:dyDescent="0.25">
      <c r="A257" s="5"/>
    </row>
    <row r="258" spans="1:1" s="7" customFormat="1" x14ac:dyDescent="0.25">
      <c r="A258" s="5"/>
    </row>
    <row r="259" spans="1:1" s="7" customFormat="1" x14ac:dyDescent="0.25">
      <c r="A259" s="5"/>
    </row>
    <row r="260" spans="1:1" s="7" customFormat="1" x14ac:dyDescent="0.25">
      <c r="A260" s="5"/>
    </row>
    <row r="261" spans="1:1" s="7" customFormat="1" x14ac:dyDescent="0.25">
      <c r="A261" s="5"/>
    </row>
    <row r="262" spans="1:1" s="7" customFormat="1" x14ac:dyDescent="0.25">
      <c r="A262" s="5"/>
    </row>
    <row r="263" spans="1:1" s="7" customFormat="1" x14ac:dyDescent="0.25">
      <c r="A263" s="5"/>
    </row>
    <row r="264" spans="1:1" s="7" customFormat="1" x14ac:dyDescent="0.25">
      <c r="A264" s="5"/>
    </row>
    <row r="265" spans="1:1" s="7" customFormat="1" x14ac:dyDescent="0.25">
      <c r="A265" s="5"/>
    </row>
    <row r="266" spans="1:1" s="7" customFormat="1" x14ac:dyDescent="0.25">
      <c r="A266" s="5"/>
    </row>
    <row r="267" spans="1:1" s="7" customFormat="1" x14ac:dyDescent="0.25">
      <c r="A267" s="5"/>
    </row>
    <row r="268" spans="1:1" s="7" customFormat="1" x14ac:dyDescent="0.25">
      <c r="A268" s="5"/>
    </row>
    <row r="269" spans="1:1" s="7" customFormat="1" x14ac:dyDescent="0.25">
      <c r="A269" s="5"/>
    </row>
    <row r="270" spans="1:1" s="7" customFormat="1" x14ac:dyDescent="0.25">
      <c r="A270" s="5"/>
    </row>
    <row r="271" spans="1:1" s="7" customFormat="1" x14ac:dyDescent="0.25">
      <c r="A271" s="5"/>
    </row>
    <row r="272" spans="1:1" s="7" customFormat="1" x14ac:dyDescent="0.25">
      <c r="A272" s="5"/>
    </row>
    <row r="273" spans="1:1" s="7" customFormat="1" x14ac:dyDescent="0.25">
      <c r="A273" s="5"/>
    </row>
    <row r="274" spans="1:1" s="7" customFormat="1" x14ac:dyDescent="0.25">
      <c r="A274" s="5"/>
    </row>
    <row r="275" spans="1:1" s="7" customFormat="1" x14ac:dyDescent="0.25">
      <c r="A275" s="5"/>
    </row>
    <row r="276" spans="1:1" s="7" customFormat="1" x14ac:dyDescent="0.25">
      <c r="A276" s="5"/>
    </row>
    <row r="277" spans="1:1" s="7" customFormat="1" x14ac:dyDescent="0.25">
      <c r="A277" s="5"/>
    </row>
    <row r="278" spans="1:1" s="7" customFormat="1" x14ac:dyDescent="0.25">
      <c r="A278" s="5"/>
    </row>
    <row r="279" spans="1:1" s="7" customFormat="1" x14ac:dyDescent="0.25">
      <c r="A279" s="5"/>
    </row>
    <row r="280" spans="1:1" s="7" customFormat="1" x14ac:dyDescent="0.25">
      <c r="A280" s="5"/>
    </row>
    <row r="281" spans="1:1" s="7" customFormat="1" x14ac:dyDescent="0.25">
      <c r="A281" s="5"/>
    </row>
    <row r="282" spans="1:1" s="7" customFormat="1" x14ac:dyDescent="0.25">
      <c r="A282" s="5"/>
    </row>
    <row r="283" spans="1:1" s="7" customFormat="1" x14ac:dyDescent="0.25">
      <c r="A283" s="5"/>
    </row>
    <row r="284" spans="1:1" s="7" customFormat="1" x14ac:dyDescent="0.25">
      <c r="A284" s="5"/>
    </row>
    <row r="285" spans="1:1" s="7" customFormat="1" x14ac:dyDescent="0.25">
      <c r="A285" s="5"/>
    </row>
    <row r="286" spans="1:1" s="7" customFormat="1" x14ac:dyDescent="0.25">
      <c r="A286" s="5"/>
    </row>
    <row r="287" spans="1:1" s="7" customFormat="1" x14ac:dyDescent="0.25">
      <c r="A287" s="5"/>
    </row>
    <row r="288" spans="1:1" s="7" customFormat="1" x14ac:dyDescent="0.25">
      <c r="A288" s="5"/>
    </row>
    <row r="289" spans="1:1" s="7" customFormat="1" x14ac:dyDescent="0.25">
      <c r="A289" s="5"/>
    </row>
    <row r="290" spans="1:1" s="7" customFormat="1" x14ac:dyDescent="0.25">
      <c r="A290" s="5"/>
    </row>
    <row r="291" spans="1:1" s="7" customFormat="1" x14ac:dyDescent="0.25">
      <c r="A291" s="5"/>
    </row>
    <row r="292" spans="1:1" s="7" customFormat="1" x14ac:dyDescent="0.25">
      <c r="A292" s="5"/>
    </row>
    <row r="293" spans="1:1" s="7" customFormat="1" x14ac:dyDescent="0.25">
      <c r="A293" s="5"/>
    </row>
    <row r="294" spans="1:1" s="7" customFormat="1" x14ac:dyDescent="0.25">
      <c r="A294" s="5"/>
    </row>
    <row r="295" spans="1:1" s="7" customFormat="1" x14ac:dyDescent="0.25">
      <c r="A295" s="5"/>
    </row>
    <row r="296" spans="1:1" s="7" customFormat="1" x14ac:dyDescent="0.25">
      <c r="A296" s="5"/>
    </row>
    <row r="297" spans="1:1" s="7" customFormat="1" x14ac:dyDescent="0.25">
      <c r="A297" s="5"/>
    </row>
    <row r="298" spans="1:1" s="7" customFormat="1" x14ac:dyDescent="0.25">
      <c r="A298" s="5"/>
    </row>
    <row r="299" spans="1:1" s="7" customFormat="1" x14ac:dyDescent="0.25">
      <c r="A299" s="5"/>
    </row>
    <row r="300" spans="1:1" s="7" customFormat="1" x14ac:dyDescent="0.25">
      <c r="A300" s="5"/>
    </row>
    <row r="301" spans="1:1" s="7" customFormat="1" x14ac:dyDescent="0.25">
      <c r="A301" s="5"/>
    </row>
    <row r="302" spans="1:1" s="7" customFormat="1" x14ac:dyDescent="0.25">
      <c r="A302" s="5"/>
    </row>
    <row r="303" spans="1:1" s="7" customFormat="1" x14ac:dyDescent="0.25">
      <c r="A303" s="5"/>
    </row>
    <row r="304" spans="1:1" s="7" customFormat="1" x14ac:dyDescent="0.25">
      <c r="A304" s="5"/>
    </row>
    <row r="305" spans="1:1" s="7" customFormat="1" x14ac:dyDescent="0.25">
      <c r="A305" s="5"/>
    </row>
    <row r="306" spans="1:1" s="7" customFormat="1" x14ac:dyDescent="0.25">
      <c r="A306" s="5"/>
    </row>
    <row r="307" spans="1:1" s="7" customFormat="1" x14ac:dyDescent="0.25">
      <c r="A307" s="5"/>
    </row>
    <row r="308" spans="1:1" s="7" customFormat="1" x14ac:dyDescent="0.25">
      <c r="A308" s="5"/>
    </row>
    <row r="309" spans="1:1" s="7" customFormat="1" x14ac:dyDescent="0.25">
      <c r="A309" s="5"/>
    </row>
    <row r="310" spans="1:1" s="7" customFormat="1" x14ac:dyDescent="0.25">
      <c r="A310" s="5"/>
    </row>
    <row r="311" spans="1:1" s="7" customFormat="1" x14ac:dyDescent="0.25">
      <c r="A311" s="5"/>
    </row>
    <row r="312" spans="1:1" s="7" customFormat="1" x14ac:dyDescent="0.25">
      <c r="A312" s="5"/>
    </row>
    <row r="313" spans="1:1" s="7" customFormat="1" x14ac:dyDescent="0.25">
      <c r="A313" s="5"/>
    </row>
    <row r="314" spans="1:1" s="7" customFormat="1" x14ac:dyDescent="0.25">
      <c r="A314" s="5"/>
    </row>
    <row r="315" spans="1:1" s="7" customFormat="1" x14ac:dyDescent="0.25">
      <c r="A315" s="5"/>
    </row>
    <row r="316" spans="1:1" s="7" customFormat="1" x14ac:dyDescent="0.25">
      <c r="A316" s="5"/>
    </row>
    <row r="317" spans="1:1" s="7" customFormat="1" x14ac:dyDescent="0.25">
      <c r="A317" s="5"/>
    </row>
    <row r="318" spans="1:1" s="7" customFormat="1" x14ac:dyDescent="0.25">
      <c r="A318" s="5"/>
    </row>
    <row r="319" spans="1:1" s="7" customFormat="1" x14ac:dyDescent="0.25">
      <c r="A319" s="5"/>
    </row>
    <row r="320" spans="1:1" s="7" customFormat="1" x14ac:dyDescent="0.25">
      <c r="A320" s="5"/>
    </row>
    <row r="321" spans="1:1" s="7" customFormat="1" x14ac:dyDescent="0.25">
      <c r="A321" s="5"/>
    </row>
    <row r="322" spans="1:1" s="7" customFormat="1" x14ac:dyDescent="0.25">
      <c r="A322" s="5"/>
    </row>
    <row r="323" spans="1:1" s="7" customFormat="1" x14ac:dyDescent="0.25">
      <c r="A323" s="5"/>
    </row>
    <row r="324" spans="1:1" s="7" customFormat="1" x14ac:dyDescent="0.25">
      <c r="A324" s="5"/>
    </row>
    <row r="325" spans="1:1" s="7" customFormat="1" x14ac:dyDescent="0.25">
      <c r="A325" s="5"/>
    </row>
    <row r="326" spans="1:1" s="7" customFormat="1" x14ac:dyDescent="0.25">
      <c r="A326" s="5"/>
    </row>
    <row r="327" spans="1:1" s="7" customFormat="1" x14ac:dyDescent="0.25">
      <c r="A327" s="5"/>
    </row>
    <row r="328" spans="1:1" s="7" customFormat="1" x14ac:dyDescent="0.25">
      <c r="A328" s="5"/>
    </row>
    <row r="329" spans="1:1" s="7" customFormat="1" x14ac:dyDescent="0.25">
      <c r="A329" s="5"/>
    </row>
    <row r="330" spans="1:1" s="7" customFormat="1" x14ac:dyDescent="0.25">
      <c r="A330" s="5"/>
    </row>
    <row r="331" spans="1:1" s="7" customFormat="1" x14ac:dyDescent="0.25">
      <c r="A331" s="5"/>
    </row>
    <row r="332" spans="1:1" s="7" customFormat="1" x14ac:dyDescent="0.25">
      <c r="A332" s="5"/>
    </row>
    <row r="333" spans="1:1" s="7" customFormat="1" x14ac:dyDescent="0.25">
      <c r="A333" s="5"/>
    </row>
    <row r="334" spans="1:1" s="7" customFormat="1" x14ac:dyDescent="0.25">
      <c r="A334" s="5"/>
    </row>
    <row r="335" spans="1:1" s="7" customFormat="1" x14ac:dyDescent="0.25">
      <c r="A335" s="5"/>
    </row>
    <row r="336" spans="1:1" s="7" customFormat="1" x14ac:dyDescent="0.25">
      <c r="A336" s="5"/>
    </row>
    <row r="337" spans="1:1" s="7" customFormat="1" x14ac:dyDescent="0.25">
      <c r="A337" s="5"/>
    </row>
    <row r="338" spans="1:1" s="7" customFormat="1" x14ac:dyDescent="0.25">
      <c r="A338" s="5"/>
    </row>
    <row r="339" spans="1:1" s="7" customFormat="1" x14ac:dyDescent="0.25">
      <c r="A339" s="5"/>
    </row>
    <row r="340" spans="1:1" s="7" customFormat="1" x14ac:dyDescent="0.25">
      <c r="A340" s="5"/>
    </row>
    <row r="341" spans="1:1" s="7" customFormat="1" x14ac:dyDescent="0.25">
      <c r="A341" s="5"/>
    </row>
    <row r="342" spans="1:1" s="7" customFormat="1" x14ac:dyDescent="0.25">
      <c r="A342" s="5"/>
    </row>
    <row r="343" spans="1:1" s="7" customFormat="1" x14ac:dyDescent="0.25">
      <c r="A343" s="5"/>
    </row>
    <row r="344" spans="1:1" s="7" customFormat="1" x14ac:dyDescent="0.25">
      <c r="A344" s="5"/>
    </row>
    <row r="345" spans="1:1" s="7" customFormat="1" x14ac:dyDescent="0.25">
      <c r="A345" s="5"/>
    </row>
    <row r="346" spans="1:1" s="7" customFormat="1" x14ac:dyDescent="0.25">
      <c r="A346" s="5"/>
    </row>
    <row r="347" spans="1:1" s="7" customFormat="1" x14ac:dyDescent="0.25">
      <c r="A347" s="5"/>
    </row>
    <row r="348" spans="1:1" s="7" customFormat="1" x14ac:dyDescent="0.25">
      <c r="A348" s="5"/>
    </row>
    <row r="349" spans="1:1" s="7" customFormat="1" x14ac:dyDescent="0.25">
      <c r="A349" s="5"/>
    </row>
    <row r="350" spans="1:1" s="7" customFormat="1" x14ac:dyDescent="0.25">
      <c r="A350" s="5"/>
    </row>
    <row r="351" spans="1:1" s="7" customFormat="1" x14ac:dyDescent="0.25">
      <c r="A351" s="5"/>
    </row>
    <row r="352" spans="1:1" s="7" customFormat="1" x14ac:dyDescent="0.25">
      <c r="A352" s="5"/>
    </row>
    <row r="353" spans="1:1" s="7" customFormat="1" x14ac:dyDescent="0.25">
      <c r="A353" s="5"/>
    </row>
    <row r="354" spans="1:1" s="7" customFormat="1" x14ac:dyDescent="0.25">
      <c r="A354" s="5"/>
    </row>
    <row r="355" spans="1:1" s="7" customFormat="1" x14ac:dyDescent="0.25">
      <c r="A355" s="5"/>
    </row>
    <row r="356" spans="1:1" s="7" customFormat="1" x14ac:dyDescent="0.25">
      <c r="A356" s="5"/>
    </row>
    <row r="357" spans="1:1" s="7" customFormat="1" x14ac:dyDescent="0.25">
      <c r="A357" s="5"/>
    </row>
    <row r="358" spans="1:1" s="7" customFormat="1" x14ac:dyDescent="0.25">
      <c r="A358" s="5"/>
    </row>
    <row r="359" spans="1:1" s="7" customFormat="1" x14ac:dyDescent="0.25">
      <c r="A359" s="5"/>
    </row>
    <row r="360" spans="1:1" s="7" customFormat="1" x14ac:dyDescent="0.25">
      <c r="A360" s="5"/>
    </row>
    <row r="361" spans="1:1" s="7" customFormat="1" x14ac:dyDescent="0.25">
      <c r="A361" s="5"/>
    </row>
    <row r="362" spans="1:1" s="7" customFormat="1" x14ac:dyDescent="0.25">
      <c r="A362" s="5"/>
    </row>
    <row r="363" spans="1:1" s="7" customFormat="1" x14ac:dyDescent="0.25">
      <c r="A363" s="5"/>
    </row>
    <row r="364" spans="1:1" s="7" customFormat="1" x14ac:dyDescent="0.25">
      <c r="A364" s="5"/>
    </row>
    <row r="365" spans="1:1" s="7" customFormat="1" x14ac:dyDescent="0.25">
      <c r="A365" s="5"/>
    </row>
    <row r="366" spans="1:1" s="7" customFormat="1" x14ac:dyDescent="0.25">
      <c r="A366" s="5"/>
    </row>
    <row r="367" spans="1:1" s="7" customFormat="1" x14ac:dyDescent="0.25">
      <c r="A367" s="5"/>
    </row>
    <row r="368" spans="1:1" s="7" customFormat="1" x14ac:dyDescent="0.25">
      <c r="A368" s="5"/>
    </row>
    <row r="369" spans="1:1" s="7" customFormat="1" x14ac:dyDescent="0.25">
      <c r="A369" s="5"/>
    </row>
    <row r="370" spans="1:1" s="7" customFormat="1" x14ac:dyDescent="0.25">
      <c r="A370" s="5"/>
    </row>
    <row r="371" spans="1:1" s="7" customFormat="1" x14ac:dyDescent="0.25">
      <c r="A371" s="5"/>
    </row>
    <row r="372" spans="1:1" s="7" customFormat="1" x14ac:dyDescent="0.25">
      <c r="A372" s="5"/>
    </row>
    <row r="373" spans="1:1" s="7" customFormat="1" x14ac:dyDescent="0.25">
      <c r="A373" s="5"/>
    </row>
    <row r="374" spans="1:1" s="7" customFormat="1" x14ac:dyDescent="0.25">
      <c r="A374" s="5"/>
    </row>
    <row r="375" spans="1:1" s="7" customFormat="1" x14ac:dyDescent="0.25">
      <c r="A375" s="5"/>
    </row>
    <row r="376" spans="1:1" s="7" customFormat="1" x14ac:dyDescent="0.25">
      <c r="A376" s="5"/>
    </row>
    <row r="377" spans="1:1" s="7" customFormat="1" x14ac:dyDescent="0.25">
      <c r="A377" s="5"/>
    </row>
    <row r="378" spans="1:1" s="7" customFormat="1" x14ac:dyDescent="0.25">
      <c r="A378" s="5"/>
    </row>
    <row r="379" spans="1:1" s="7" customFormat="1" x14ac:dyDescent="0.25">
      <c r="A379" s="5"/>
    </row>
    <row r="380" spans="1:1" s="7" customFormat="1" x14ac:dyDescent="0.25">
      <c r="A380" s="5"/>
    </row>
    <row r="381" spans="1:1" s="7" customFormat="1" x14ac:dyDescent="0.25">
      <c r="A381" s="5"/>
    </row>
    <row r="382" spans="1:1" s="7" customFormat="1" x14ac:dyDescent="0.25">
      <c r="A382" s="5"/>
    </row>
    <row r="383" spans="1:1" s="7" customFormat="1" x14ac:dyDescent="0.25">
      <c r="A383" s="5"/>
    </row>
    <row r="384" spans="1:1" s="7" customFormat="1" x14ac:dyDescent="0.25">
      <c r="A384" s="5"/>
    </row>
    <row r="385" spans="1:1" s="7" customFormat="1" x14ac:dyDescent="0.25">
      <c r="A385" s="5"/>
    </row>
    <row r="386" spans="1:1" s="7" customFormat="1" x14ac:dyDescent="0.25">
      <c r="A386" s="5"/>
    </row>
    <row r="387" spans="1:1" s="7" customFormat="1" x14ac:dyDescent="0.25">
      <c r="A387" s="5"/>
    </row>
    <row r="388" spans="1:1" s="7" customFormat="1" x14ac:dyDescent="0.25">
      <c r="A388" s="5"/>
    </row>
    <row r="389" spans="1:1" s="7" customFormat="1" x14ac:dyDescent="0.25">
      <c r="A389" s="5"/>
    </row>
    <row r="390" spans="1:1" s="7" customFormat="1" x14ac:dyDescent="0.25">
      <c r="A390" s="5"/>
    </row>
    <row r="391" spans="1:1" s="7" customFormat="1" x14ac:dyDescent="0.25">
      <c r="A391" s="5"/>
    </row>
    <row r="392" spans="1:1" s="7" customFormat="1" x14ac:dyDescent="0.25">
      <c r="A392" s="5"/>
    </row>
    <row r="393" spans="1:1" s="7" customFormat="1" x14ac:dyDescent="0.25">
      <c r="A393" s="5"/>
    </row>
    <row r="394" spans="1:1" s="7" customFormat="1" x14ac:dyDescent="0.25">
      <c r="A394" s="5"/>
    </row>
    <row r="395" spans="1:1" s="7" customFormat="1" x14ac:dyDescent="0.25">
      <c r="A395" s="5"/>
    </row>
    <row r="396" spans="1:1" s="7" customFormat="1" x14ac:dyDescent="0.25">
      <c r="A396" s="5"/>
    </row>
    <row r="397" spans="1:1" s="7" customFormat="1" x14ac:dyDescent="0.25">
      <c r="A397" s="5"/>
    </row>
    <row r="398" spans="1:1" s="7" customFormat="1" x14ac:dyDescent="0.25">
      <c r="A398" s="5"/>
    </row>
    <row r="399" spans="1:1" s="7" customFormat="1" x14ac:dyDescent="0.25">
      <c r="A399" s="5"/>
    </row>
    <row r="400" spans="1:1" s="7" customFormat="1" x14ac:dyDescent="0.25">
      <c r="A400" s="5"/>
    </row>
    <row r="401" spans="1:1" s="7" customFormat="1" x14ac:dyDescent="0.25">
      <c r="A401" s="5"/>
    </row>
    <row r="402" spans="1:1" s="7" customFormat="1" x14ac:dyDescent="0.25">
      <c r="A402" s="5"/>
    </row>
    <row r="403" spans="1:1" s="7" customFormat="1" x14ac:dyDescent="0.25">
      <c r="A403" s="5"/>
    </row>
    <row r="404" spans="1:1" s="7" customFormat="1" x14ac:dyDescent="0.25">
      <c r="A404" s="5"/>
    </row>
    <row r="405" spans="1:1" s="7" customFormat="1" x14ac:dyDescent="0.25">
      <c r="A405" s="5"/>
    </row>
    <row r="406" spans="1:1" s="7" customFormat="1" x14ac:dyDescent="0.25">
      <c r="A406" s="5"/>
    </row>
    <row r="407" spans="1:1" s="7" customFormat="1" x14ac:dyDescent="0.25">
      <c r="A407" s="5"/>
    </row>
    <row r="408" spans="1:1" s="7" customFormat="1" x14ac:dyDescent="0.25">
      <c r="A408" s="5"/>
    </row>
    <row r="409" spans="1:1" s="7" customFormat="1" x14ac:dyDescent="0.25">
      <c r="A409" s="5"/>
    </row>
    <row r="410" spans="1:1" s="7" customFormat="1" x14ac:dyDescent="0.25">
      <c r="A410" s="5"/>
    </row>
    <row r="411" spans="1:1" s="7" customFormat="1" x14ac:dyDescent="0.25">
      <c r="A411" s="5"/>
    </row>
    <row r="412" spans="1:1" s="7" customFormat="1" x14ac:dyDescent="0.25">
      <c r="A412" s="5"/>
    </row>
    <row r="413" spans="1:1" s="7" customFormat="1" x14ac:dyDescent="0.25">
      <c r="A413" s="5"/>
    </row>
    <row r="414" spans="1:1" s="7" customFormat="1" x14ac:dyDescent="0.25">
      <c r="A414" s="5"/>
    </row>
    <row r="415" spans="1:1" s="7" customFormat="1" x14ac:dyDescent="0.25">
      <c r="A415" s="5"/>
    </row>
    <row r="416" spans="1:1" s="7" customFormat="1" x14ac:dyDescent="0.25">
      <c r="A416" s="5"/>
    </row>
    <row r="417" spans="1:1" s="7" customFormat="1" x14ac:dyDescent="0.25">
      <c r="A417" s="5"/>
    </row>
    <row r="418" spans="1:1" s="7" customFormat="1" x14ac:dyDescent="0.25">
      <c r="A418" s="5"/>
    </row>
    <row r="419" spans="1:1" s="7" customFormat="1" x14ac:dyDescent="0.25">
      <c r="A419" s="5"/>
    </row>
    <row r="420" spans="1:1" s="7" customFormat="1" x14ac:dyDescent="0.25">
      <c r="A420" s="5"/>
    </row>
    <row r="421" spans="1:1" s="7" customFormat="1" x14ac:dyDescent="0.25">
      <c r="A421" s="5"/>
    </row>
    <row r="422" spans="1:1" s="7" customFormat="1" x14ac:dyDescent="0.25">
      <c r="A422" s="5"/>
    </row>
    <row r="423" spans="1:1" s="7" customFormat="1" x14ac:dyDescent="0.25">
      <c r="A423" s="5"/>
    </row>
    <row r="424" spans="1:1" s="7" customFormat="1" x14ac:dyDescent="0.25">
      <c r="A424" s="5"/>
    </row>
    <row r="425" spans="1:1" s="7" customFormat="1" x14ac:dyDescent="0.25">
      <c r="A425" s="5"/>
    </row>
    <row r="426" spans="1:1" s="7" customFormat="1" x14ac:dyDescent="0.25">
      <c r="A426" s="5"/>
    </row>
    <row r="427" spans="1:1" s="7" customFormat="1" x14ac:dyDescent="0.25">
      <c r="A427" s="5"/>
    </row>
    <row r="428" spans="1:1" s="7" customFormat="1" x14ac:dyDescent="0.25">
      <c r="A428" s="5"/>
    </row>
    <row r="429" spans="1:1" s="7" customFormat="1" x14ac:dyDescent="0.25">
      <c r="A429" s="5"/>
    </row>
    <row r="430" spans="1:1" s="7" customFormat="1" x14ac:dyDescent="0.25">
      <c r="A430" s="5"/>
    </row>
    <row r="431" spans="1:1" s="7" customFormat="1" x14ac:dyDescent="0.25">
      <c r="A431" s="5"/>
    </row>
    <row r="432" spans="1:1" s="7" customFormat="1" x14ac:dyDescent="0.25">
      <c r="A432" s="5"/>
    </row>
    <row r="433" spans="1:1" s="7" customFormat="1" x14ac:dyDescent="0.25">
      <c r="A433" s="5"/>
    </row>
    <row r="434" spans="1:1" s="7" customFormat="1" x14ac:dyDescent="0.25">
      <c r="A434" s="5"/>
    </row>
    <row r="435" spans="1:1" s="7" customFormat="1" x14ac:dyDescent="0.25">
      <c r="A435" s="5"/>
    </row>
    <row r="436" spans="1:1" s="7" customFormat="1" x14ac:dyDescent="0.25">
      <c r="A436" s="5"/>
    </row>
    <row r="437" spans="1:1" s="7" customFormat="1" x14ac:dyDescent="0.25">
      <c r="A437" s="5"/>
    </row>
    <row r="438" spans="1:1" s="7" customFormat="1" x14ac:dyDescent="0.25">
      <c r="A438" s="5"/>
    </row>
    <row r="439" spans="1:1" s="7" customFormat="1" x14ac:dyDescent="0.25">
      <c r="A439" s="5"/>
    </row>
    <row r="440" spans="1:1" s="7" customFormat="1" x14ac:dyDescent="0.25">
      <c r="A440" s="5"/>
    </row>
    <row r="441" spans="1:1" s="7" customFormat="1" x14ac:dyDescent="0.25">
      <c r="A441" s="5"/>
    </row>
    <row r="442" spans="1:1" s="7" customFormat="1" x14ac:dyDescent="0.25">
      <c r="A442" s="5"/>
    </row>
    <row r="443" spans="1:1" s="7" customFormat="1" x14ac:dyDescent="0.25">
      <c r="A443" s="5"/>
    </row>
    <row r="444" spans="1:1" s="7" customFormat="1" x14ac:dyDescent="0.25">
      <c r="A444" s="5"/>
    </row>
    <row r="445" spans="1:1" s="7" customFormat="1" x14ac:dyDescent="0.25">
      <c r="A445" s="5"/>
    </row>
    <row r="446" spans="1:1" s="7" customFormat="1" x14ac:dyDescent="0.25">
      <c r="A446" s="5"/>
    </row>
    <row r="447" spans="1:1" s="7" customFormat="1" x14ac:dyDescent="0.25">
      <c r="A447" s="5"/>
    </row>
    <row r="448" spans="1:1" s="7" customFormat="1" x14ac:dyDescent="0.25">
      <c r="A448" s="5"/>
    </row>
    <row r="449" spans="1:1" s="7" customFormat="1" x14ac:dyDescent="0.25">
      <c r="A449" s="5"/>
    </row>
    <row r="450" spans="1:1" s="7" customFormat="1" x14ac:dyDescent="0.25">
      <c r="A450" s="5"/>
    </row>
    <row r="451" spans="1:1" s="7" customFormat="1" x14ac:dyDescent="0.25">
      <c r="A451" s="5"/>
    </row>
    <row r="452" spans="1:1" s="7" customFormat="1" x14ac:dyDescent="0.25">
      <c r="A452" s="5"/>
    </row>
    <row r="453" spans="1:1" s="7" customFormat="1" x14ac:dyDescent="0.25">
      <c r="A453" s="5"/>
    </row>
    <row r="454" spans="1:1" s="7" customFormat="1" x14ac:dyDescent="0.25">
      <c r="A454" s="5"/>
    </row>
    <row r="455" spans="1:1" s="7" customFormat="1" x14ac:dyDescent="0.25">
      <c r="A455" s="5"/>
    </row>
    <row r="456" spans="1:1" s="7" customFormat="1" x14ac:dyDescent="0.25">
      <c r="A456" s="5"/>
    </row>
    <row r="457" spans="1:1" s="7" customFormat="1" x14ac:dyDescent="0.25">
      <c r="A457" s="5"/>
    </row>
    <row r="458" spans="1:1" s="7" customFormat="1" x14ac:dyDescent="0.25">
      <c r="A458" s="5"/>
    </row>
    <row r="459" spans="1:1" s="7" customFormat="1" x14ac:dyDescent="0.25">
      <c r="A459" s="5"/>
    </row>
    <row r="460" spans="1:1" s="7" customFormat="1" x14ac:dyDescent="0.25">
      <c r="A460" s="5"/>
    </row>
    <row r="461" spans="1:1" s="7" customFormat="1" x14ac:dyDescent="0.25">
      <c r="A461" s="5"/>
    </row>
    <row r="462" spans="1:1" s="7" customFormat="1" x14ac:dyDescent="0.25">
      <c r="A462" s="5"/>
    </row>
    <row r="463" spans="1:1" s="7" customFormat="1" x14ac:dyDescent="0.25">
      <c r="A463" s="5"/>
    </row>
    <row r="464" spans="1:1" s="7" customFormat="1" x14ac:dyDescent="0.25">
      <c r="A464" s="5"/>
    </row>
    <row r="465" spans="1:1" s="7" customFormat="1" x14ac:dyDescent="0.25">
      <c r="A465" s="5"/>
    </row>
    <row r="466" spans="1:1" s="7" customFormat="1" x14ac:dyDescent="0.25">
      <c r="A466" s="5"/>
    </row>
    <row r="467" spans="1:1" s="7" customFormat="1" x14ac:dyDescent="0.25">
      <c r="A467" s="5"/>
    </row>
    <row r="468" spans="1:1" s="7" customFormat="1" x14ac:dyDescent="0.25">
      <c r="A468" s="5"/>
    </row>
    <row r="469" spans="1:1" s="7" customFormat="1" x14ac:dyDescent="0.25">
      <c r="A469" s="5"/>
    </row>
    <row r="470" spans="1:1" s="7" customFormat="1" x14ac:dyDescent="0.25">
      <c r="A470" s="5"/>
    </row>
    <row r="471" spans="1:1" s="7" customFormat="1" x14ac:dyDescent="0.25">
      <c r="A471" s="5"/>
    </row>
    <row r="472" spans="1:1" s="7" customFormat="1" x14ac:dyDescent="0.25">
      <c r="A472" s="5"/>
    </row>
    <row r="473" spans="1:1" s="7" customFormat="1" x14ac:dyDescent="0.25">
      <c r="A473" s="5"/>
    </row>
    <row r="474" spans="1:1" s="7" customFormat="1" x14ac:dyDescent="0.25">
      <c r="A474" s="5"/>
    </row>
    <row r="475" spans="1:1" s="7" customFormat="1" x14ac:dyDescent="0.25">
      <c r="A475" s="5"/>
    </row>
    <row r="476" spans="1:1" s="7" customFormat="1" x14ac:dyDescent="0.25">
      <c r="A476" s="5"/>
    </row>
    <row r="477" spans="1:1" s="7" customFormat="1" x14ac:dyDescent="0.25">
      <c r="A477" s="5"/>
    </row>
    <row r="478" spans="1:1" s="7" customFormat="1" x14ac:dyDescent="0.25">
      <c r="A478" s="5"/>
    </row>
    <row r="479" spans="1:1" s="7" customFormat="1" x14ac:dyDescent="0.25">
      <c r="A479" s="5"/>
    </row>
    <row r="480" spans="1:1" s="7" customFormat="1" x14ac:dyDescent="0.25">
      <c r="A480" s="5"/>
    </row>
    <row r="481" spans="1:1" s="7" customFormat="1" x14ac:dyDescent="0.25">
      <c r="A481" s="5"/>
    </row>
    <row r="482" spans="1:1" s="7" customFormat="1" x14ac:dyDescent="0.25">
      <c r="A482" s="5"/>
    </row>
    <row r="483" spans="1:1" s="7" customFormat="1" x14ac:dyDescent="0.25">
      <c r="A483" s="5"/>
    </row>
    <row r="484" spans="1:1" s="7" customFormat="1" x14ac:dyDescent="0.25">
      <c r="A484" s="5"/>
    </row>
    <row r="485" spans="1:1" s="7" customFormat="1" x14ac:dyDescent="0.25">
      <c r="A485" s="5"/>
    </row>
    <row r="486" spans="1:1" s="7" customFormat="1" x14ac:dyDescent="0.25">
      <c r="A486" s="5"/>
    </row>
    <row r="487" spans="1:1" s="7" customFormat="1" x14ac:dyDescent="0.25">
      <c r="A487" s="5"/>
    </row>
    <row r="488" spans="1:1" s="7" customFormat="1" x14ac:dyDescent="0.25">
      <c r="A488" s="5"/>
    </row>
    <row r="489" spans="1:1" s="7" customFormat="1" x14ac:dyDescent="0.25">
      <c r="A489" s="5"/>
    </row>
    <row r="490" spans="1:1" s="7" customFormat="1" x14ac:dyDescent="0.25">
      <c r="A490" s="5"/>
    </row>
    <row r="491" spans="1:1" s="7" customFormat="1" x14ac:dyDescent="0.25">
      <c r="A491" s="5"/>
    </row>
    <row r="492" spans="1:1" s="7" customFormat="1" x14ac:dyDescent="0.25">
      <c r="A492" s="5"/>
    </row>
    <row r="493" spans="1:1" s="7" customFormat="1" x14ac:dyDescent="0.25">
      <c r="A493" s="5"/>
    </row>
    <row r="494" spans="1:1" s="7" customFormat="1" x14ac:dyDescent="0.25">
      <c r="A494" s="5"/>
    </row>
    <row r="495" spans="1:1" s="7" customFormat="1" x14ac:dyDescent="0.25">
      <c r="A495" s="5"/>
    </row>
    <row r="496" spans="1:1" s="7" customFormat="1" x14ac:dyDescent="0.25">
      <c r="A496" s="5"/>
    </row>
    <row r="497" spans="1:1" s="7" customFormat="1" x14ac:dyDescent="0.25">
      <c r="A497" s="5"/>
    </row>
    <row r="498" spans="1:1" s="7" customFormat="1" x14ac:dyDescent="0.25">
      <c r="A498" s="5"/>
    </row>
    <row r="499" spans="1:1" s="7" customFormat="1" x14ac:dyDescent="0.25">
      <c r="A499" s="5"/>
    </row>
    <row r="500" spans="1:1" s="7" customFormat="1" x14ac:dyDescent="0.25">
      <c r="A500" s="5"/>
    </row>
    <row r="501" spans="1:1" s="7" customFormat="1" x14ac:dyDescent="0.25">
      <c r="A501" s="5"/>
    </row>
    <row r="502" spans="1:1" s="7" customFormat="1" x14ac:dyDescent="0.25">
      <c r="A502" s="5"/>
    </row>
    <row r="503" spans="1:1" s="7" customFormat="1" x14ac:dyDescent="0.25">
      <c r="A503" s="5"/>
    </row>
    <row r="504" spans="1:1" s="7" customFormat="1" x14ac:dyDescent="0.25">
      <c r="A504" s="5"/>
    </row>
    <row r="505" spans="1:1" s="7" customFormat="1" x14ac:dyDescent="0.25">
      <c r="A505" s="5"/>
    </row>
    <row r="506" spans="1:1" s="7" customFormat="1" x14ac:dyDescent="0.25">
      <c r="A506" s="5"/>
    </row>
    <row r="507" spans="1:1" s="7" customFormat="1" x14ac:dyDescent="0.25">
      <c r="A507" s="5"/>
    </row>
    <row r="508" spans="1:1" s="7" customFormat="1" x14ac:dyDescent="0.25">
      <c r="A508" s="5"/>
    </row>
    <row r="509" spans="1:1" s="7" customFormat="1" x14ac:dyDescent="0.25">
      <c r="A509" s="5"/>
    </row>
    <row r="510" spans="1:1" s="7" customFormat="1" x14ac:dyDescent="0.25">
      <c r="A510" s="5"/>
    </row>
    <row r="511" spans="1:1" s="7" customFormat="1" x14ac:dyDescent="0.25">
      <c r="A511" s="5"/>
    </row>
    <row r="512" spans="1:1" s="7" customFormat="1" x14ac:dyDescent="0.25">
      <c r="A512" s="5"/>
    </row>
    <row r="513" spans="1:1" s="7" customFormat="1" x14ac:dyDescent="0.25">
      <c r="A513" s="5"/>
    </row>
    <row r="514" spans="1:1" s="7" customFormat="1" x14ac:dyDescent="0.25">
      <c r="A514" s="5"/>
    </row>
    <row r="515" spans="1:1" s="7" customFormat="1" x14ac:dyDescent="0.25">
      <c r="A515" s="5"/>
    </row>
    <row r="516" spans="1:1" s="7" customFormat="1" x14ac:dyDescent="0.25">
      <c r="A516" s="5"/>
    </row>
    <row r="517" spans="1:1" s="7" customFormat="1" x14ac:dyDescent="0.25">
      <c r="A517" s="5"/>
    </row>
    <row r="518" spans="1:1" s="7" customFormat="1" x14ac:dyDescent="0.25">
      <c r="A518" s="5"/>
    </row>
    <row r="519" spans="1:1" s="7" customFormat="1" x14ac:dyDescent="0.25">
      <c r="A519" s="5"/>
    </row>
    <row r="520" spans="1:1" s="7" customFormat="1" x14ac:dyDescent="0.25">
      <c r="A520" s="5"/>
    </row>
    <row r="521" spans="1:1" s="7" customFormat="1" x14ac:dyDescent="0.25">
      <c r="A521" s="5"/>
    </row>
    <row r="522" spans="1:1" s="7" customFormat="1" x14ac:dyDescent="0.25">
      <c r="A522" s="5"/>
    </row>
    <row r="523" spans="1:1" s="7" customFormat="1" x14ac:dyDescent="0.25">
      <c r="A523" s="5"/>
    </row>
    <row r="524" spans="1:1" s="7" customFormat="1" x14ac:dyDescent="0.25">
      <c r="A524" s="5"/>
    </row>
    <row r="525" spans="1:1" s="7" customFormat="1" x14ac:dyDescent="0.25">
      <c r="A525" s="5"/>
    </row>
    <row r="526" spans="1:1" s="7" customFormat="1" x14ac:dyDescent="0.25">
      <c r="A526" s="5"/>
    </row>
    <row r="527" spans="1:1" s="7" customFormat="1" x14ac:dyDescent="0.25">
      <c r="A527" s="5"/>
    </row>
    <row r="528" spans="1:1" s="7" customFormat="1" x14ac:dyDescent="0.25">
      <c r="A528" s="5"/>
    </row>
    <row r="529" spans="1:1" s="7" customFormat="1" x14ac:dyDescent="0.25">
      <c r="A529" s="5"/>
    </row>
    <row r="530" spans="1:1" s="7" customFormat="1" x14ac:dyDescent="0.25">
      <c r="A530" s="5"/>
    </row>
    <row r="531" spans="1:1" s="7" customFormat="1" x14ac:dyDescent="0.25">
      <c r="A531" s="5"/>
    </row>
    <row r="532" spans="1:1" s="7" customFormat="1" x14ac:dyDescent="0.25">
      <c r="A532" s="5"/>
    </row>
    <row r="533" spans="1:1" s="7" customFormat="1" x14ac:dyDescent="0.25">
      <c r="A533" s="5"/>
    </row>
    <row r="534" spans="1:1" s="7" customFormat="1" x14ac:dyDescent="0.25">
      <c r="A534" s="5"/>
    </row>
    <row r="535" spans="1:1" s="7" customFormat="1" x14ac:dyDescent="0.25">
      <c r="A535" s="5"/>
    </row>
    <row r="536" spans="1:1" s="7" customFormat="1" x14ac:dyDescent="0.25">
      <c r="A536" s="5"/>
    </row>
    <row r="537" spans="1:1" s="7" customFormat="1" x14ac:dyDescent="0.25">
      <c r="A537" s="5"/>
    </row>
    <row r="538" spans="1:1" s="7" customFormat="1" x14ac:dyDescent="0.25">
      <c r="A538" s="5"/>
    </row>
    <row r="539" spans="1:1" s="7" customFormat="1" x14ac:dyDescent="0.25">
      <c r="A539" s="5"/>
    </row>
    <row r="540" spans="1:1" s="7" customFormat="1" x14ac:dyDescent="0.25">
      <c r="A540" s="5"/>
    </row>
    <row r="541" spans="1:1" s="7" customFormat="1" x14ac:dyDescent="0.25">
      <c r="A541" s="5"/>
    </row>
    <row r="542" spans="1:1" s="7" customFormat="1" x14ac:dyDescent="0.25">
      <c r="A542" s="5"/>
    </row>
    <row r="543" spans="1:1" s="7" customFormat="1" x14ac:dyDescent="0.25">
      <c r="A543" s="5"/>
    </row>
    <row r="544" spans="1:1" s="7" customFormat="1" x14ac:dyDescent="0.25">
      <c r="A544" s="5"/>
    </row>
    <row r="545" spans="1:1" s="7" customFormat="1" x14ac:dyDescent="0.25">
      <c r="A545" s="5"/>
    </row>
    <row r="546" spans="1:1" s="7" customFormat="1" x14ac:dyDescent="0.25">
      <c r="A546" s="5"/>
    </row>
    <row r="547" spans="1:1" s="7" customFormat="1" x14ac:dyDescent="0.25">
      <c r="A547" s="5"/>
    </row>
    <row r="548" spans="1:1" s="7" customFormat="1" x14ac:dyDescent="0.25">
      <c r="A548" s="5"/>
    </row>
    <row r="549" spans="1:1" s="7" customFormat="1" x14ac:dyDescent="0.25">
      <c r="A549" s="5"/>
    </row>
    <row r="550" spans="1:1" s="7" customFormat="1" x14ac:dyDescent="0.25">
      <c r="A550" s="5"/>
    </row>
    <row r="551" spans="1:1" s="7" customFormat="1" x14ac:dyDescent="0.25">
      <c r="A551" s="5"/>
    </row>
    <row r="552" spans="1:1" s="7" customFormat="1" x14ac:dyDescent="0.25">
      <c r="A552" s="5"/>
    </row>
    <row r="553" spans="1:1" s="7" customFormat="1" x14ac:dyDescent="0.25">
      <c r="A553" s="5"/>
    </row>
    <row r="554" spans="1:1" s="7" customFormat="1" x14ac:dyDescent="0.25">
      <c r="A554" s="5"/>
    </row>
    <row r="555" spans="1:1" s="7" customFormat="1" x14ac:dyDescent="0.25">
      <c r="A555" s="5"/>
    </row>
    <row r="556" spans="1:1" s="7" customFormat="1" x14ac:dyDescent="0.25">
      <c r="A556" s="5"/>
    </row>
    <row r="557" spans="1:1" s="7" customFormat="1" x14ac:dyDescent="0.25">
      <c r="A557" s="5"/>
    </row>
    <row r="558" spans="1:1" s="7" customFormat="1" x14ac:dyDescent="0.25">
      <c r="A558" s="5"/>
    </row>
    <row r="559" spans="1:1" s="7" customFormat="1" x14ac:dyDescent="0.25">
      <c r="A559" s="5"/>
    </row>
    <row r="560" spans="1:1" s="7" customFormat="1" x14ac:dyDescent="0.25">
      <c r="A560" s="5"/>
    </row>
    <row r="561" spans="1:1" s="7" customFormat="1" x14ac:dyDescent="0.25">
      <c r="A561" s="5"/>
    </row>
    <row r="562" spans="1:1" s="7" customFormat="1" x14ac:dyDescent="0.25">
      <c r="A562" s="5"/>
    </row>
    <row r="563" spans="1:1" s="7" customFormat="1" x14ac:dyDescent="0.25">
      <c r="A563" s="5"/>
    </row>
    <row r="564" spans="1:1" s="7" customFormat="1" x14ac:dyDescent="0.25">
      <c r="A564" s="5"/>
    </row>
    <row r="565" spans="1:1" s="7" customFormat="1" x14ac:dyDescent="0.25">
      <c r="A565" s="5"/>
    </row>
    <row r="566" spans="1:1" s="7" customFormat="1" x14ac:dyDescent="0.25">
      <c r="A566" s="5"/>
    </row>
    <row r="567" spans="1:1" s="7" customFormat="1" x14ac:dyDescent="0.25">
      <c r="A567" s="5"/>
    </row>
    <row r="568" spans="1:1" s="7" customFormat="1" x14ac:dyDescent="0.25">
      <c r="A568" s="5"/>
    </row>
    <row r="569" spans="1:1" s="7" customFormat="1" x14ac:dyDescent="0.25">
      <c r="A569" s="5"/>
    </row>
    <row r="570" spans="1:1" s="7" customFormat="1" x14ac:dyDescent="0.25">
      <c r="A570" s="5"/>
    </row>
    <row r="571" spans="1:1" s="7" customFormat="1" x14ac:dyDescent="0.25">
      <c r="A571" s="5"/>
    </row>
    <row r="572" spans="1:1" s="7" customFormat="1" x14ac:dyDescent="0.25">
      <c r="A572" s="5"/>
    </row>
    <row r="573" spans="1:1" s="7" customFormat="1" x14ac:dyDescent="0.25">
      <c r="A573" s="5"/>
    </row>
    <row r="574" spans="1:1" s="7" customFormat="1" x14ac:dyDescent="0.25">
      <c r="A574" s="5"/>
    </row>
    <row r="575" spans="1:1" s="7" customFormat="1" x14ac:dyDescent="0.25">
      <c r="A575" s="5"/>
    </row>
    <row r="576" spans="1:1" s="7" customFormat="1" x14ac:dyDescent="0.25">
      <c r="A576" s="5"/>
    </row>
    <row r="577" spans="1:1" s="7" customFormat="1" x14ac:dyDescent="0.25">
      <c r="A577" s="5"/>
    </row>
    <row r="578" spans="1:1" s="7" customFormat="1" x14ac:dyDescent="0.25">
      <c r="A578" s="5"/>
    </row>
    <row r="579" spans="1:1" s="7" customFormat="1" x14ac:dyDescent="0.25">
      <c r="A579" s="5"/>
    </row>
    <row r="580" spans="1:1" s="7" customFormat="1" x14ac:dyDescent="0.25">
      <c r="A580" s="5"/>
    </row>
    <row r="581" spans="1:1" s="7" customFormat="1" x14ac:dyDescent="0.25">
      <c r="A581" s="5"/>
    </row>
    <row r="582" spans="1:1" s="7" customFormat="1" x14ac:dyDescent="0.25">
      <c r="A582" s="5"/>
    </row>
    <row r="583" spans="1:1" s="7" customFormat="1" x14ac:dyDescent="0.25">
      <c r="A583" s="5"/>
    </row>
    <row r="584" spans="1:1" s="7" customFormat="1" x14ac:dyDescent="0.25">
      <c r="A584" s="5"/>
    </row>
    <row r="585" spans="1:1" s="7" customFormat="1" x14ac:dyDescent="0.25">
      <c r="A585" s="5"/>
    </row>
    <row r="586" spans="1:1" s="7" customFormat="1" x14ac:dyDescent="0.25">
      <c r="A586" s="5"/>
    </row>
    <row r="587" spans="1:1" s="7" customFormat="1" x14ac:dyDescent="0.25">
      <c r="A587" s="5"/>
    </row>
    <row r="588" spans="1:1" s="7" customFormat="1" x14ac:dyDescent="0.25">
      <c r="A588" s="5"/>
    </row>
    <row r="589" spans="1:1" s="7" customFormat="1" x14ac:dyDescent="0.25">
      <c r="A589" s="5"/>
    </row>
    <row r="590" spans="1:1" s="7" customFormat="1" x14ac:dyDescent="0.25">
      <c r="A590" s="5"/>
    </row>
    <row r="591" spans="1:1" s="7" customFormat="1" x14ac:dyDescent="0.25">
      <c r="A591" s="5"/>
    </row>
    <row r="592" spans="1:1" s="7" customFormat="1" x14ac:dyDescent="0.25">
      <c r="A592" s="5"/>
    </row>
    <row r="593" spans="1:1" s="7" customFormat="1" x14ac:dyDescent="0.25">
      <c r="A593" s="5"/>
    </row>
    <row r="594" spans="1:1" s="7" customFormat="1" x14ac:dyDescent="0.25">
      <c r="A594" s="5"/>
    </row>
    <row r="595" spans="1:1" s="7" customFormat="1" x14ac:dyDescent="0.25">
      <c r="A595" s="5"/>
    </row>
    <row r="596" spans="1:1" s="7" customFormat="1" x14ac:dyDescent="0.25">
      <c r="A596" s="5"/>
    </row>
    <row r="597" spans="1:1" s="7" customFormat="1" x14ac:dyDescent="0.25">
      <c r="A597" s="5"/>
    </row>
    <row r="598" spans="1:1" s="7" customFormat="1" x14ac:dyDescent="0.25">
      <c r="A598" s="5"/>
    </row>
    <row r="599" spans="1:1" s="7" customFormat="1" x14ac:dyDescent="0.25">
      <c r="A599" s="5"/>
    </row>
    <row r="600" spans="1:1" s="7" customFormat="1" x14ac:dyDescent="0.25">
      <c r="A600" s="5"/>
    </row>
    <row r="601" spans="1:1" s="7" customFormat="1" x14ac:dyDescent="0.25">
      <c r="A601" s="5"/>
    </row>
    <row r="602" spans="1:1" s="7" customFormat="1" x14ac:dyDescent="0.25">
      <c r="A602" s="5"/>
    </row>
    <row r="603" spans="1:1" s="7" customFormat="1" x14ac:dyDescent="0.25">
      <c r="A603" s="5"/>
    </row>
    <row r="604" spans="1:1" s="7" customFormat="1" x14ac:dyDescent="0.25">
      <c r="A604" s="5"/>
    </row>
    <row r="605" spans="1:1" s="7" customFormat="1" x14ac:dyDescent="0.25">
      <c r="A605" s="5"/>
    </row>
    <row r="606" spans="1:1" s="7" customFormat="1" x14ac:dyDescent="0.25">
      <c r="A606" s="5"/>
    </row>
    <row r="607" spans="1:1" s="7" customFormat="1" x14ac:dyDescent="0.25">
      <c r="A607" s="5"/>
    </row>
    <row r="608" spans="1:1" s="7" customFormat="1" x14ac:dyDescent="0.25">
      <c r="A608" s="5"/>
    </row>
    <row r="609" spans="1:1" s="7" customFormat="1" x14ac:dyDescent="0.25">
      <c r="A609" s="5"/>
    </row>
    <row r="610" spans="1:1" s="7" customFormat="1" x14ac:dyDescent="0.25">
      <c r="A610" s="5"/>
    </row>
    <row r="611" spans="1:1" s="7" customFormat="1" x14ac:dyDescent="0.25">
      <c r="A611" s="5"/>
    </row>
    <row r="612" spans="1:1" s="7" customFormat="1" x14ac:dyDescent="0.25">
      <c r="A612" s="5"/>
    </row>
    <row r="613" spans="1:1" s="7" customFormat="1" x14ac:dyDescent="0.25">
      <c r="A613" s="5"/>
    </row>
    <row r="614" spans="1:1" s="7" customFormat="1" x14ac:dyDescent="0.25">
      <c r="A614" s="5"/>
    </row>
    <row r="615" spans="1:1" s="7" customFormat="1" x14ac:dyDescent="0.25">
      <c r="A615" s="5"/>
    </row>
    <row r="616" spans="1:1" s="7" customFormat="1" x14ac:dyDescent="0.25">
      <c r="A616" s="5"/>
    </row>
    <row r="617" spans="1:1" s="7" customFormat="1" x14ac:dyDescent="0.25">
      <c r="A617" s="5"/>
    </row>
    <row r="618" spans="1:1" s="7" customFormat="1" x14ac:dyDescent="0.25">
      <c r="A618" s="5"/>
    </row>
    <row r="619" spans="1:1" s="7" customFormat="1" x14ac:dyDescent="0.25">
      <c r="A619" s="5"/>
    </row>
    <row r="620" spans="1:1" s="7" customFormat="1" x14ac:dyDescent="0.25">
      <c r="A620" s="5"/>
    </row>
    <row r="621" spans="1:1" s="7" customFormat="1" x14ac:dyDescent="0.25">
      <c r="A621" s="5"/>
    </row>
    <row r="622" spans="1:1" s="7" customFormat="1" x14ac:dyDescent="0.25">
      <c r="A622" s="5"/>
    </row>
    <row r="623" spans="1:1" s="7" customFormat="1" x14ac:dyDescent="0.25">
      <c r="A623" s="5"/>
    </row>
    <row r="624" spans="1:1" s="7" customFormat="1" x14ac:dyDescent="0.25">
      <c r="A624" s="5"/>
    </row>
    <row r="625" spans="1:1" s="7" customFormat="1" x14ac:dyDescent="0.25">
      <c r="A625" s="5"/>
    </row>
    <row r="626" spans="1:1" s="7" customFormat="1" x14ac:dyDescent="0.25">
      <c r="A626" s="5"/>
    </row>
    <row r="627" spans="1:1" s="7" customFormat="1" x14ac:dyDescent="0.25">
      <c r="A627" s="5"/>
    </row>
    <row r="628" spans="1:1" s="7" customFormat="1" x14ac:dyDescent="0.25">
      <c r="A628" s="5"/>
    </row>
    <row r="629" spans="1:1" s="7" customFormat="1" x14ac:dyDescent="0.25">
      <c r="A629" s="5"/>
    </row>
    <row r="630" spans="1:1" s="7" customFormat="1" x14ac:dyDescent="0.25">
      <c r="A630" s="5"/>
    </row>
    <row r="631" spans="1:1" s="7" customFormat="1" x14ac:dyDescent="0.25">
      <c r="A631" s="5"/>
    </row>
    <row r="632" spans="1:1" s="7" customFormat="1" x14ac:dyDescent="0.25">
      <c r="A632" s="5"/>
    </row>
    <row r="633" spans="1:1" s="7" customFormat="1" x14ac:dyDescent="0.25">
      <c r="A633" s="5"/>
    </row>
  </sheetData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0261-AF83-432C-A3C9-9F41FE9C13F2}">
  <sheetPr>
    <tabColor theme="3" tint="0.749992370372631"/>
  </sheetPr>
  <dimension ref="A1:AE57"/>
  <sheetViews>
    <sheetView showGridLines="0" showRowColHeaders="0" tabSelected="1" zoomScaleNormal="100" workbookViewId="0">
      <selection activeCell="U31" sqref="U31"/>
    </sheetView>
    <sheetView showGridLines="0" showRowColHeaders="0" workbookViewId="1">
      <selection activeCell="T35" sqref="T35"/>
    </sheetView>
  </sheetViews>
  <sheetFormatPr defaultRowHeight="15" x14ac:dyDescent="0.25"/>
  <cols>
    <col min="1" max="1" width="24.7109375" customWidth="1"/>
    <col min="2" max="2" width="3.5703125" customWidth="1"/>
    <col min="12" max="12" width="6.5703125" customWidth="1"/>
    <col min="19" max="19" width="5.5703125" customWidth="1"/>
  </cols>
  <sheetData>
    <row r="1" spans="1:31" x14ac:dyDescent="0.25">
      <c r="A1" s="5"/>
    </row>
    <row r="2" spans="1:31" x14ac:dyDescent="0.25">
      <c r="A2" s="5"/>
    </row>
    <row r="3" spans="1:31" ht="20.25" thickBot="1" x14ac:dyDescent="0.35">
      <c r="A3" s="5"/>
      <c r="B3" s="18"/>
      <c r="C3" s="19" t="s">
        <v>319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31" ht="15.75" thickTop="1" x14ac:dyDescent="0.25">
      <c r="A4" s="5"/>
    </row>
    <row r="5" spans="1:31" ht="23.25" customHeight="1" x14ac:dyDescent="0.25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5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x14ac:dyDescent="0.25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5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25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25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x14ac:dyDescent="0.25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x14ac:dyDescent="0.25">
      <c r="A52" s="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25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x14ac:dyDescent="0.25">
      <c r="A54" s="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25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x14ac:dyDescent="0.25">
      <c r="A56" s="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x14ac:dyDescent="0.25">
      <c r="A57" s="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</sheetData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A̳ssets</vt:lpstr>
      <vt:lpstr>B̳ases</vt:lpstr>
      <vt:lpstr>C̳álculos</vt:lpstr>
      <vt:lpstr>D̳ashboard</vt:lpstr>
      <vt:lpstr>Dashboard_Vendas</vt:lpstr>
      <vt:lpstr>D̳ashboard!Area_de_impressao</vt:lpstr>
      <vt:lpstr>Dashboard_Vendas!Area_de_impressao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Santos, Thayana (Top Service)</cp:lastModifiedBy>
  <dcterms:created xsi:type="dcterms:W3CDTF">2024-12-19T13:13:10Z</dcterms:created>
  <dcterms:modified xsi:type="dcterms:W3CDTF">2025-04-14T15:41:27Z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